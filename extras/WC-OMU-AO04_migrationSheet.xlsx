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hamam/Documents/GitHub/SRAN_Migration/extras/"/>
    </mc:Choice>
  </mc:AlternateContent>
  <xr:revisionPtr revIDLastSave="0" documentId="13_ncr:1_{426480D8-D13A-F04A-AF1C-440110E827C8}" xr6:coauthVersionLast="40" xr6:coauthVersionMax="40" xr10:uidLastSave="{00000000-0000-0000-0000-000000000000}"/>
  <bookViews>
    <workbookView xWindow="-27160" yWindow="460" windowWidth="25040" windowHeight="13900" activeTab="3" xr2:uid="{00000000-000D-0000-FFFF-FFFF00000000}"/>
  </bookViews>
  <sheets>
    <sheet name="WC-OMU-AO04" sheetId="1" r:id="rId1"/>
    <sheet name="Info_Config_commands" sheetId="2" r:id="rId2"/>
    <sheet name="Output_infoConfig_bridgePort" sheetId="5" r:id="rId3"/>
    <sheet name="Modifications of QOS queue" sheetId="7" r:id="rId4"/>
    <sheet name="Vlans_Change" sheetId="8" r:id="rId5"/>
  </sheets>
  <definedNames>
    <definedName name="OLE_LINK11" localSheetId="4">Vlans_Change!$F$2</definedName>
    <definedName name="OLE_LINK5" localSheetId="3">'Modifications of QOS queue'!$A$2</definedName>
    <definedName name="OLE_LINK50" localSheetId="3">'Modifications of QOS queue'!$A$3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7" l="1"/>
  <c r="F24" i="8"/>
  <c r="F23" i="8"/>
  <c r="F20" i="8"/>
  <c r="F19" i="8"/>
  <c r="F17" i="8" l="1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C9" i="7"/>
  <c r="C8" i="7"/>
  <c r="C7" i="7"/>
  <c r="C6" i="7"/>
  <c r="C5" i="7"/>
  <c r="C4" i="7"/>
  <c r="C3" i="7"/>
  <c r="B3" i="5"/>
  <c r="B4" i="5"/>
  <c r="B5" i="5"/>
  <c r="B6" i="5"/>
  <c r="B7" i="5"/>
  <c r="B9" i="5"/>
  <c r="B10" i="5"/>
  <c r="B11" i="5"/>
  <c r="B12" i="5"/>
  <c r="B13" i="5"/>
  <c r="B14" i="5"/>
  <c r="B16" i="5"/>
  <c r="B17" i="5"/>
  <c r="B18" i="5"/>
  <c r="B19" i="5"/>
  <c r="B20" i="5"/>
  <c r="B22" i="5"/>
  <c r="B23" i="5"/>
  <c r="B24" i="5"/>
  <c r="B25" i="5"/>
  <c r="B26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6" i="5"/>
  <c r="B107" i="5"/>
  <c r="B108" i="5"/>
  <c r="B109" i="5"/>
  <c r="B110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2" i="5"/>
  <c r="A111" i="5"/>
  <c r="B111" i="5" s="1"/>
  <c r="A105" i="5"/>
  <c r="B105" i="5" s="1"/>
  <c r="A27" i="5"/>
  <c r="B27" i="5" s="1"/>
  <c r="A21" i="5"/>
  <c r="B21" i="5" s="1"/>
  <c r="A15" i="5"/>
  <c r="B15" i="5" s="1"/>
  <c r="A8" i="5"/>
  <c r="B8" i="5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2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 xml:space="preserve">Put the ONT circuite id you wish to add BW profile for it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<sst xmlns="http://schemas.openxmlformats.org/spreadsheetml/2006/main" count="1000" uniqueCount="384">
  <si>
    <t>Object Name</t>
  </si>
  <si>
    <t>Association Number</t>
  </si>
  <si>
    <t>Network VLAN</t>
  </si>
  <si>
    <t>VLAN Forwarding Mode</t>
  </si>
  <si>
    <t>Subscriber VLAN</t>
  </si>
  <si>
    <t>Subscriber/Network VLAN</t>
  </si>
  <si>
    <t>Supporting Port</t>
  </si>
  <si>
    <t>WC-OMU-AO04:P549453824.C900</t>
  </si>
  <si>
    <t>-None-</t>
  </si>
  <si>
    <t>Without Translation</t>
  </si>
  <si>
    <t>C900</t>
  </si>
  <si>
    <t>C900 ( 2G_3G_RAN, Residential Bridge )</t>
  </si>
  <si>
    <t>R1.S1.LT15.P1</t>
  </si>
  <si>
    <t>WC-OMU-AO04:P549453824.C950</t>
  </si>
  <si>
    <t>C950</t>
  </si>
  <si>
    <t>C950 ( LTE_RAN, Residential Bridge )</t>
  </si>
  <si>
    <t>WC-OMU-AO04:P549453824.C951</t>
  </si>
  <si>
    <t>C951</t>
  </si>
  <si>
    <t>C951 ( LTE_OAM, Residential Bridge )</t>
  </si>
  <si>
    <t>WC-OMU-AO04:P549453824.C970</t>
  </si>
  <si>
    <t>C970</t>
  </si>
  <si>
    <t>C970 ( 2G_3G_OAM, Residential Bridge )</t>
  </si>
  <si>
    <t>WC-OMU-AO04:P549453824.C989</t>
  </si>
  <si>
    <t>C989</t>
  </si>
  <si>
    <t>C989 ( MBH_TEST, Residential Bridge )</t>
  </si>
  <si>
    <t>WC-OMU-AO04:P549470208.C900</t>
  </si>
  <si>
    <t>R1.S1.LT15.P3</t>
  </si>
  <si>
    <t>WC-OMU-AO04:P549470208.C950</t>
  </si>
  <si>
    <t>WC-OMU-AO04:P549470208.C951</t>
  </si>
  <si>
    <t>WC-OMU-AO04:P549470208.C970</t>
  </si>
  <si>
    <t>WC-OMU-AO04:P549470208.C989</t>
  </si>
  <si>
    <t>WC-OMU-AO04:P549486592.C900</t>
  </si>
  <si>
    <t>R1.S1.LT15.P5</t>
  </si>
  <si>
    <t>WC-OMU-AO04:P549486592.C950</t>
  </si>
  <si>
    <t>WC-OMU-AO04:P549486592.C951</t>
  </si>
  <si>
    <t>WC-OMU-AO04:P549486592.C970</t>
  </si>
  <si>
    <t>WC-OMU-AO04:P549502976.C900</t>
  </si>
  <si>
    <t>R1.S1.LT15.P7</t>
  </si>
  <si>
    <t>WC-OMU-AO04:P549502976.C950</t>
  </si>
  <si>
    <t>WC-OMU-AO04:P549502976.C951</t>
  </si>
  <si>
    <t>WC-OMU-AO04:P549502976.C970</t>
  </si>
  <si>
    <t>WC-OMU-AO04:P549519360.C900</t>
  </si>
  <si>
    <t>R1.S1.LT15.P9</t>
  </si>
  <si>
    <t>WC-OMU-AO04:P549519360.C950</t>
  </si>
  <si>
    <t>WC-OMU-AO04:P549519360.C989</t>
  </si>
  <si>
    <t>WC-OMU-AO04:P549519360.C992</t>
  </si>
  <si>
    <t>C992</t>
  </si>
  <si>
    <t>C992 ( LTE_RAN_SecondSubnet, Residential Bridge )</t>
  </si>
  <si>
    <t>WC-OMU-AO04:P549535744.C900</t>
  </si>
  <si>
    <t>R1.S1.LT15.P11</t>
  </si>
  <si>
    <t>WC-OMU-AO04:P549535744.C950</t>
  </si>
  <si>
    <t>WC-OMU-AO04:P549535744.C989</t>
  </si>
  <si>
    <t>WC-OMU-AO04:P549535744.C992</t>
  </si>
  <si>
    <t>WC-OMU-AO04:P549552128.C990</t>
  </si>
  <si>
    <t>C990</t>
  </si>
  <si>
    <t>C990 ( 2G3G_RAN_SecondSubnet, Residential Bridge )</t>
  </si>
  <si>
    <t>R1.S1.LT15.P13</t>
  </si>
  <si>
    <t>WC-OMU-AO04:P549552128.C992</t>
  </si>
  <si>
    <t>WC-OMU-AO04:P549568512.C900</t>
  </si>
  <si>
    <t>R1.S1.LT15.P15</t>
  </si>
  <si>
    <t>WC-OMU-AO04:P549568512.C950</t>
  </si>
  <si>
    <t>WC-OMU-AO04:P549568512.C989</t>
  </si>
  <si>
    <t>WC-OMU-AO04:P549568512.C992</t>
  </si>
  <si>
    <t>WC-OMU-AO04:P549584896.C900</t>
  </si>
  <si>
    <t>R1.S1.LT15.P17</t>
  </si>
  <si>
    <t>WC-OMU-AO04:P549584896.C950</t>
  </si>
  <si>
    <t>WC-OMU-AO04:P549584896.C951</t>
  </si>
  <si>
    <t>WC-OMU-AO04:P549584896.C970</t>
  </si>
  <si>
    <t>WC-OMU-AO04:P549584896.C992</t>
  </si>
  <si>
    <t>WC-OMU-AO04:P549601280.C900</t>
  </si>
  <si>
    <t>R1.S1.LT15.P19</t>
  </si>
  <si>
    <t>WC-OMU-AO04:P549601280.C950</t>
  </si>
  <si>
    <t>WC-OMU-AO04:P549601280.C951</t>
  </si>
  <si>
    <t>WC-OMU-AO04:P549601280.C970</t>
  </si>
  <si>
    <t>WC-OMU-AO04:P549601280.C992</t>
  </si>
  <si>
    <t>WC-OMU-AO04:P549617664.C900</t>
  </si>
  <si>
    <t>R1.S1.LT15.P21</t>
  </si>
  <si>
    <t>WC-OMU-AO04:P549617664.C950</t>
  </si>
  <si>
    <t>WC-OMU-AO04:P549617664.C989</t>
  </si>
  <si>
    <t>WC-OMU-AO04:P549634048.C900</t>
  </si>
  <si>
    <t>R1.S1.LT15.P23</t>
  </si>
  <si>
    <t>WC-OMU-AO04:P549634048.C950</t>
  </si>
  <si>
    <t>WC-OMU-AO04:P549634048.C951</t>
  </si>
  <si>
    <t>WC-OMU-AO04:P549634048.C970</t>
  </si>
  <si>
    <t>WC-OMU-AO04:P549634048.C989</t>
  </si>
  <si>
    <t>WC-OMU-AO04:P549634048.C992</t>
  </si>
  <si>
    <t>WC-OMU-AO04:P549650432.C900</t>
  </si>
  <si>
    <t>R1.S1.LT15.P25</t>
  </si>
  <si>
    <t>WC-OMU-AO04:P549650432.C950</t>
  </si>
  <si>
    <t>WC-OMU-AO04:P549666816.C900</t>
  </si>
  <si>
    <t>R1.S1.LT15.P27</t>
  </si>
  <si>
    <t>WC-OMU-AO04:P549666816.C950</t>
  </si>
  <si>
    <t>WC-OMU-AO04:P549666816.C989</t>
  </si>
  <si>
    <t>WC-OMU-AO04:P549683200.C900</t>
  </si>
  <si>
    <t>R1.S1.LT15.P29</t>
  </si>
  <si>
    <t>WC-OMU-AO04:P549683200.C950</t>
  </si>
  <si>
    <t>WC-OMU-AO04:P549699584.C900</t>
  </si>
  <si>
    <t>R1.S1.LT15.P31</t>
  </si>
  <si>
    <t>WC-OMU-AO04:P549699584.C950</t>
  </si>
  <si>
    <t>WC-OMU-AO04:P549699584.C989</t>
  </si>
  <si>
    <t>WC-OMU-AO04:P549715968.C900</t>
  </si>
  <si>
    <t>R1.S1.LT15.P33</t>
  </si>
  <si>
    <t>WC-OMU-AO04:P549715968.C950</t>
  </si>
  <si>
    <t>WC-OMU-AO04:P549715968.C989</t>
  </si>
  <si>
    <t>WC-OMU-AO04:P549732352.C900</t>
  </si>
  <si>
    <t>R1.S1.LT15.P35</t>
  </si>
  <si>
    <t>WC-OMU-AO04:P549732352.C950</t>
  </si>
  <si>
    <t>WC-OMU-AO04:P549732352.C951</t>
  </si>
  <si>
    <t>WC-OMU-AO04:P549732352.C989</t>
  </si>
  <si>
    <t>WC-OMU-AO04:P583008256.C900</t>
  </si>
  <si>
    <t>R1.S1.LT16.P1</t>
  </si>
  <si>
    <t>WC-OMU-AO04:P583008256.C950</t>
  </si>
  <si>
    <t>WC-OMU-AO04:P583008256.C951</t>
  </si>
  <si>
    <t>WC-OMU-AO04:P583008256.C970</t>
  </si>
  <si>
    <t>WC-OMU-AO04:P583041024.C900</t>
  </si>
  <si>
    <t>R1.S1.LT16.P5</t>
  </si>
  <si>
    <t>WC-OMU-AO04:P583041024.C950</t>
  </si>
  <si>
    <t>WC-OMU-AO04:P583041024.C989</t>
  </si>
  <si>
    <t>WC-OMU-AO04:P583090176.C900</t>
  </si>
  <si>
    <t>R1.S1.LT16.P11</t>
  </si>
  <si>
    <t>WC-OMU-AO04:P583090176.C950</t>
  </si>
  <si>
    <t>WC-OMU-AO04:P583090176.C951</t>
  </si>
  <si>
    <t>WC-OMU-AO04:P583090176.C970</t>
  </si>
  <si>
    <t>WC-OMU-AO04:P583106560.C900</t>
  </si>
  <si>
    <t>R1.S1.LT16.P13</t>
  </si>
  <si>
    <t>WC-OMU-AO04:P583106560.C950</t>
  </si>
  <si>
    <t>WC-OMU-AO04:P583106560.C951</t>
  </si>
  <si>
    <t>WC-OMU-AO04:P583106560.C970</t>
  </si>
  <si>
    <t>WC-OMU-AO04:P583106560.C989</t>
  </si>
  <si>
    <t>WC-OMU-AO04:P583122944.C900</t>
  </si>
  <si>
    <t>R1.S1.LT16.P15</t>
  </si>
  <si>
    <t>WC-OMU-AO04:P583122944.C950</t>
  </si>
  <si>
    <t>WC-OMU-AO04:P583122944.C951</t>
  </si>
  <si>
    <t>WC-OMU-AO04:P583122944.C970</t>
  </si>
  <si>
    <t>WC-OMU-AO04:P583139328.C900</t>
  </si>
  <si>
    <t>R1.S1.LT16.P17</t>
  </si>
  <si>
    <t>WC-OMU-AO04:P583139328.C950</t>
  </si>
  <si>
    <t>WC-OMU-AO04:P583139328.C951</t>
  </si>
  <si>
    <t>WC-OMU-AO04:P583139328.C970</t>
  </si>
  <si>
    <t>WC-OMU-AO04:P583155712.C900</t>
  </si>
  <si>
    <t>R1.S1.LT16.P19</t>
  </si>
  <si>
    <t>WC-OMU-AO04:P583155712.C950</t>
  </si>
  <si>
    <t>WC-OMU-AO04:P583155712.C951</t>
  </si>
  <si>
    <t>WC-OMU-AO04:P583155712.C970</t>
  </si>
  <si>
    <t>WC-OMU-AO04:P583172096.C900</t>
  </si>
  <si>
    <t>R1.S1.LT16.P21</t>
  </si>
  <si>
    <t>WC-OMU-AO04:P583172096.C950</t>
  </si>
  <si>
    <t>WC-OMU-AO04:P583172096.C951</t>
  </si>
  <si>
    <t>WC-OMU-AO04:P583172096.C970</t>
  </si>
  <si>
    <t>WC-OMU-AO04:P583172096.C990</t>
  </si>
  <si>
    <t>WC-OMU-AO04:P583172096.C992</t>
  </si>
  <si>
    <t>WC-OMU-AO04:P583188480.C990</t>
  </si>
  <si>
    <t>R1.S1.LT16.P23</t>
  </si>
  <si>
    <t>WC-OMU-AO04:P583188480.C992</t>
  </si>
  <si>
    <t>WC-OMU-AO04:P583204864.C900</t>
  </si>
  <si>
    <t>R1.S1.LT16.P25</t>
  </si>
  <si>
    <t>WC-OMU-AO04:P583204864.C950</t>
  </si>
  <si>
    <t>WC-OMU-AO04:P583204864.C951</t>
  </si>
  <si>
    <t>WC-OMU-AO04:P583204864.C970</t>
  </si>
  <si>
    <t>WC-OMU-AO04:P583204864.C990</t>
  </si>
  <si>
    <t>WC-OMU-AO04:P583204864.C992</t>
  </si>
  <si>
    <t>WC-OMU-AO04:P583221248.C900</t>
  </si>
  <si>
    <t>R1.S1.LT16.P27</t>
  </si>
  <si>
    <t>WC-OMU-AO04:P583221248.C989</t>
  </si>
  <si>
    <t>WC-OMU-AO04:P583221248.C992</t>
  </si>
  <si>
    <t>WC-OMU-AO04:P583237632.C900</t>
  </si>
  <si>
    <t>R1.S1.LT16.P29</t>
  </si>
  <si>
    <t>WC-OMU-AO04:P583237632.C950</t>
  </si>
  <si>
    <t>Results of 'Unknown': 115 records found. Query duration 3 s.</t>
  </si>
  <si>
    <t>This query was executed by mhamam</t>
  </si>
  <si>
    <t>1/1/15/1</t>
  </si>
  <si>
    <t>1/1/15/3</t>
  </si>
  <si>
    <t>1/1/15/5</t>
  </si>
  <si>
    <t>1/1/15/7</t>
  </si>
  <si>
    <t>1/1/15/9</t>
  </si>
  <si>
    <t>1/1/15/11</t>
  </si>
  <si>
    <t>1/1/15/13</t>
  </si>
  <si>
    <t>1/1/15/15</t>
  </si>
  <si>
    <t>1/1/15/17</t>
  </si>
  <si>
    <t>1/1/15/19</t>
  </si>
  <si>
    <t>1/1/15/21</t>
  </si>
  <si>
    <t>1/1/15/23</t>
  </si>
  <si>
    <t>1/1/15/25</t>
  </si>
  <si>
    <t>1/1/15/27</t>
  </si>
  <si>
    <t>1/1/15/29</t>
  </si>
  <si>
    <t>1/1/15/31</t>
  </si>
  <si>
    <t>1/1/15/33</t>
  </si>
  <si>
    <t>1/1/15/35</t>
  </si>
  <si>
    <t>1/1/16/1</t>
  </si>
  <si>
    <t>1/1/16/5</t>
  </si>
  <si>
    <t>1/1/16/11</t>
  </si>
  <si>
    <t>1/1/16/13</t>
  </si>
  <si>
    <t>1/1/16/15</t>
  </si>
  <si>
    <t>1/1/16/17</t>
  </si>
  <si>
    <t>1/1/16/19</t>
  </si>
  <si>
    <t>1/1/16/21</t>
  </si>
  <si>
    <t>1/1/16/23</t>
  </si>
  <si>
    <t>1/1/16/25</t>
  </si>
  <si>
    <t>1/1/16/27</t>
  </si>
  <si>
    <t>1/1/16/29</t>
  </si>
  <si>
    <t>configure bridge port 1/1/15/1 vlan-id 900 tag single-tagged</t>
  </si>
  <si>
    <t>configure bridge port 1/1/15/1 vlan-id 950 tag single-tagged</t>
  </si>
  <si>
    <t>configure bridge port 1/1/15/1 vlan-id 951 tag single-tagged</t>
  </si>
  <si>
    <t>configure bridge port 1/1/15/1 vlan-id 970 tag single-tagged</t>
  </si>
  <si>
    <t>configure bridge port 1/1/15/1 vlan-id 989 tag single-tagged</t>
  </si>
  <si>
    <t>configure bridge port 1/1/15/3 vlan-id 900 tag single-tagged</t>
  </si>
  <si>
    <t>configure bridge port 1/1/15/3 vlan-id 950 tag single-tagged</t>
  </si>
  <si>
    <t>configure bridge port 1/1/15/3 vlan-id 951 tag single-tagged</t>
  </si>
  <si>
    <t>configure bridge port 1/1/15/3 vlan-id 970 tag single-tagged</t>
  </si>
  <si>
    <t>configure bridge port 1/1/15/3 vlan-id 989 tag single-tagged</t>
  </si>
  <si>
    <t>configure bridge port 1/1/15/5 vlan-id 900 tag single-tagged</t>
  </si>
  <si>
    <t>configure bridge port 1/1/15/5 vlan-id 950 tag single-tagged</t>
  </si>
  <si>
    <t>configure bridge port 1/1/15/5 vlan-id 951 tag single-tagged</t>
  </si>
  <si>
    <t>configure bridge port 1/1/15/5 vlan-id 970 tag single-tagged</t>
  </si>
  <si>
    <t>configure bridge port 1/1/15/7 vlan-id 900 tag single-tagged</t>
  </si>
  <si>
    <t>configure bridge port 1/1/15/7 vlan-id 950 tag single-tagged</t>
  </si>
  <si>
    <t>configure bridge port 1/1/15/7 vlan-id 951 tag single-tagged</t>
  </si>
  <si>
    <t>configure bridge port 1/1/15/7 vlan-id 970 tag single-tagged</t>
  </si>
  <si>
    <t>configure bridge port 1/1/15/9 vlan-id 900 tag single-tagged</t>
  </si>
  <si>
    <t>configure bridge port 1/1/15/9 vlan-id 950 tag single-tagged</t>
  </si>
  <si>
    <t>configure bridge port 1/1/15/9 vlan-id 989 tag single-tagged</t>
  </si>
  <si>
    <t>configure bridge port 1/1/15/9 vlan-id 992 tag single-tagged</t>
  </si>
  <si>
    <t>configure bridge port 1/1/15/11 vlan-id 900 tag single-tagged</t>
  </si>
  <si>
    <t>configure bridge port 1/1/15/11 vlan-id 950 tag single-tagged</t>
  </si>
  <si>
    <t>configure bridge port 1/1/15/11 vlan-id 989 tag single-tagged</t>
  </si>
  <si>
    <t>configure bridge port 1/1/15/11 vlan-id 992 tag single-tagged</t>
  </si>
  <si>
    <t>configure bridge port 1/1/15/13 vlan-id 990 tag single-tagged</t>
  </si>
  <si>
    <t>configure bridge port 1/1/15/13 vlan-id 992 tag single-tagged</t>
  </si>
  <si>
    <t>configure bridge port 1/1/15/15 vlan-id 900 tag single-tagged</t>
  </si>
  <si>
    <t>configure bridge port 1/1/15/15 vlan-id 950 tag single-tagged</t>
  </si>
  <si>
    <t>configure bridge port 1/1/15/15 vlan-id 989 tag single-tagged</t>
  </si>
  <si>
    <t>configure bridge port 1/1/15/15 vlan-id 992 tag single-tagged</t>
  </si>
  <si>
    <t>configure bridge port 1/1/15/17 vlan-id 900 tag single-tagged</t>
  </si>
  <si>
    <t>configure bridge port 1/1/15/17 vlan-id 950 tag single-tagged</t>
  </si>
  <si>
    <t>configure bridge port 1/1/15/17 vlan-id 951 tag single-tagged</t>
  </si>
  <si>
    <t>configure bridge port 1/1/15/17 vlan-id 970 tag single-tagged</t>
  </si>
  <si>
    <t>configure bridge port 1/1/15/17 vlan-id 992 tag single-tagged</t>
  </si>
  <si>
    <t>configure bridge port 1/1/15/19 vlan-id 900 tag single-tagged</t>
  </si>
  <si>
    <t>configure bridge port 1/1/15/19 vlan-id 950 tag single-tagged</t>
  </si>
  <si>
    <t>configure bridge port 1/1/15/19 vlan-id 951 tag single-tagged</t>
  </si>
  <si>
    <t>configure bridge port 1/1/15/19 vlan-id 970 tag single-tagged</t>
  </si>
  <si>
    <t>configure bridge port 1/1/15/19 vlan-id 992 tag single-tagged</t>
  </si>
  <si>
    <t>configure bridge port 1/1/15/21 vlan-id 900 tag single-tagged</t>
  </si>
  <si>
    <t>configure bridge port 1/1/15/21 vlan-id 950 tag single-tagged</t>
  </si>
  <si>
    <t>configure bridge port 1/1/15/21 vlan-id 989 tag single-tagged</t>
  </si>
  <si>
    <t>configure bridge port 1/1/15/23 vlan-id 900 tag single-tagged in-qos-prof-name name:Default_TC7</t>
  </si>
  <si>
    <t>configure bridge port 1/1/15/23 vlan-id 950 tag single-tagged in-qos-prof-name name:Default_TC7</t>
  </si>
  <si>
    <t>configure bridge port 1/1/15/23 vlan-id 951 tag single-tagged in-qos-prof-name name:Default_TC7</t>
  </si>
  <si>
    <t>configure bridge port 1/1/15/23 vlan-id 970 tag single-tagged in-qos-prof-name name:Default_TC7</t>
  </si>
  <si>
    <t>configure bridge port 1/1/15/23 vlan-id 989 tag single-tagged</t>
  </si>
  <si>
    <t>configure bridge port 1/1/15/23 vlan-id 992 tag single-tagged</t>
  </si>
  <si>
    <t>configure bridge port 1/1/15/25 vlan-id 900 tag single-tagged</t>
  </si>
  <si>
    <t>configure bridge port 1/1/15/25 vlan-id 950 tag single-tagged</t>
  </si>
  <si>
    <t>configure bridge port 1/1/15/27 vlan-id 900 tag single-tagged</t>
  </si>
  <si>
    <t>configure bridge port 1/1/15/27 vlan-id 950 tag single-tagged</t>
  </si>
  <si>
    <t>configure bridge port 1/1/15/27 vlan-id 989 tag single-tagged</t>
  </si>
  <si>
    <t>configure bridge port 1/1/15/29 vlan-id 900 tag single-tagged</t>
  </si>
  <si>
    <t>configure bridge port 1/1/15/29 vlan-id 950 tag single-tagged</t>
  </si>
  <si>
    <t>configure bridge port 1/1/15/31 vlan-id 900 tag single-tagged in-qos-prof-name name:Default_TC7</t>
  </si>
  <si>
    <t>configure bridge port 1/1/15/31 vlan-id 950 tag single-tagged in-qos-prof-name name:Default_TC7</t>
  </si>
  <si>
    <t>configure bridge port 1/1/15/31 vlan-id 989 tag single-tagged in-qos-prof-name name:Default_TC7</t>
  </si>
  <si>
    <t>configure bridge port 1/1/15/33 vlan-id 900 tag single-tagged</t>
  </si>
  <si>
    <t>configure bridge port 1/1/15/33 vlan-id 950 tag single-tagged</t>
  </si>
  <si>
    <t>configure bridge port 1/1/15/33 vlan-id 989 tag single-tagged</t>
  </si>
  <si>
    <t>configure bridge port 1/1/15/35 vlan-id 900 tag single-tagged</t>
  </si>
  <si>
    <t>configure bridge port 1/1/15/35 vlan-id 950 tag single-tagged</t>
  </si>
  <si>
    <t>configure bridge port 1/1/15/35 vlan-id 951 tag single-tagged</t>
  </si>
  <si>
    <t>configure bridge port 1/1/15/35 vlan-id 989 tag single-tagged in-qos-prof-name name:Default_TC7</t>
  </si>
  <si>
    <t>configure bridge port 1/1/16/1 vlan-id 900 tag single-tagged in-qos-prof-name name:Default_TC7</t>
  </si>
  <si>
    <t>configure bridge port 1/1/16/1 vlan-id 950 tag single-tagged in-qos-prof-name name:Default_TC7</t>
  </si>
  <si>
    <t>configure bridge port 1/1/16/1 vlan-id 951 tag single-tagged in-qos-prof-name name:Default_TC7</t>
  </si>
  <si>
    <t>configure bridge port 1/1/16/1 vlan-id 970 tag single-tagged in-qos-prof-name name:Default_TC7</t>
  </si>
  <si>
    <t>configure bridge port 1/1/16/5 vlan-id 900 tag single-tagged</t>
  </si>
  <si>
    <t>configure bridge port 1/1/16/5 vlan-id 950 tag single-tagged</t>
  </si>
  <si>
    <t>configure bridge port 1/1/16/5 vlan-id 989 tag single-tagged in-qos-prof-name name:Default_TC7</t>
  </si>
  <si>
    <t>configure bridge port 1/1/16/11 vlan-id 900 tag single-tagged</t>
  </si>
  <si>
    <t>configure bridge port 1/1/16/11 vlan-id 950 tag single-tagged</t>
  </si>
  <si>
    <t>configure bridge port 1/1/16/11 vlan-id 951 tag single-tagged</t>
  </si>
  <si>
    <t>configure bridge port 1/1/16/11 vlan-id 970 tag single-tagged</t>
  </si>
  <si>
    <t>configure bridge port 1/1/16/13 vlan-id 900 tag single-tagged</t>
  </si>
  <si>
    <t>configure bridge port 1/1/16/13 vlan-id 950 tag single-tagged</t>
  </si>
  <si>
    <t>configure bridge port 1/1/16/13 vlan-id 951 tag single-tagged</t>
  </si>
  <si>
    <t>configure bridge port 1/1/16/13 vlan-id 970 tag single-tagged</t>
  </si>
  <si>
    <t>configure bridge port 1/1/16/13 vlan-id 989 tag single-tagged</t>
  </si>
  <si>
    <t>configure bridge port 1/1/16/15 vlan-id 900 tag single-tagged in-qos-prof-name name:Default_TC7</t>
  </si>
  <si>
    <t>configure bridge port 1/1/16/15 vlan-id 950 tag single-tagged in-qos-prof-name name:Default_TC7</t>
  </si>
  <si>
    <t>configure bridge port 1/1/16/15 vlan-id 951 tag single-tagged in-qos-prof-name name:Default_TC7</t>
  </si>
  <si>
    <t>configure bridge port 1/1/16/15 vlan-id 970 tag single-tagged in-qos-prof-name name:Default_TC7</t>
  </si>
  <si>
    <t>configure bridge port 1/1/16/17 vlan-id 900 tag single-tagged in-qos-prof-name name:Default_TC7</t>
  </si>
  <si>
    <t>configure bridge port 1/1/16/17 vlan-id 950 tag single-tagged in-qos-prof-name name:Default_TC7</t>
  </si>
  <si>
    <t>configure bridge port 1/1/16/17 vlan-id 951 tag single-tagged in-qos-prof-name name:Default_TC7</t>
  </si>
  <si>
    <t>configure bridge port 1/1/16/17 vlan-id 970 tag single-tagged in-qos-prof-name name:Default_TC7</t>
  </si>
  <si>
    <t>configure bridge port 1/1/16/19 vlan-id 900 tag single-tagged in-qos-prof-name name:Default_TC7</t>
  </si>
  <si>
    <t>configure bridge port 1/1/16/19 vlan-id 950 tag single-tagged in-qos-prof-name name:Default_TC7</t>
  </si>
  <si>
    <t>configure bridge port 1/1/16/19 vlan-id 951 tag single-tagged in-qos-prof-name name:Default_TC7</t>
  </si>
  <si>
    <t>configure bridge port 1/1/16/19 vlan-id 970 tag single-tagged in-qos-prof-name name:Default_TC7</t>
  </si>
  <si>
    <t>configure bridge port 1/1/16/21 vlan-id 900 tag single-tagged</t>
  </si>
  <si>
    <t>configure bridge port 1/1/16/21 vlan-id 950 tag single-tagged</t>
  </si>
  <si>
    <t>configure bridge port 1/1/16/21 vlan-id 951 tag single-tagged</t>
  </si>
  <si>
    <t>configure bridge port 1/1/16/21 vlan-id 970 tag single-tagged</t>
  </si>
  <si>
    <t>configure bridge port 1/1/16/21 vlan-id 990 tag single-tagged</t>
  </si>
  <si>
    <t>configure bridge port 1/1/16/21 vlan-id 992 tag single-tagged</t>
  </si>
  <si>
    <t>configure bridge port 1/1/16/23 vlan-id 990 tag single-tagged</t>
  </si>
  <si>
    <t>configure bridge port 1/1/16/23 vlan-id 992 tag single-tagged</t>
  </si>
  <si>
    <t>configure bridge port 1/1/16/25 vlan-id 900 tag single-tagged</t>
  </si>
  <si>
    <t>configure bridge port 1/1/16/25 vlan-id 950 tag single-tagged</t>
  </si>
  <si>
    <t>configure bridge port 1/1/16/25 vlan-id 951 tag single-tagged</t>
  </si>
  <si>
    <t>configure bridge port 1/1/16/25 vlan-id 970 tag single-tagged</t>
  </si>
  <si>
    <t>configure bridge port 1/1/16/25 vlan-id 990 tag single-tagged</t>
  </si>
  <si>
    <t>configure bridge port 1/1/16/25 vlan-id 992 tag single-tagged</t>
  </si>
  <si>
    <t>configure bridge port 1/1/16/27 vlan-id 900 tag single-tagged qos priority:7</t>
  </si>
  <si>
    <t>configure bridge port 1/1/16/27 vlan-id 989 tag single-tagged qos priority:7</t>
  </si>
  <si>
    <t>configure bridge port 1/1/16/27 vlan-id 992 tag single-tagged qos priority:7</t>
  </si>
  <si>
    <t>configure bridge port 1/1/16/29 vlan-id 900 tag single-tagged</t>
  </si>
  <si>
    <t>configure bridge port 1/1/16/29 vlan-id 950 tag single-tagged</t>
  </si>
  <si>
    <t>WC-OMU-AO04:isadmin&gt;#info configure bridge port 1/1/15/3 flat | match exact:vlan</t>
  </si>
  <si>
    <t>WC-OMU-AO04:isadmin&gt;#info configure bridge port 1/1/15/5 flat | match exact:vlan</t>
  </si>
  <si>
    <t>WC-OMU-AO04:isadmin&gt;#info configure bridge port 1/1/15/7 flat | match exact:vlan</t>
  </si>
  <si>
    <t>WC-OMU-AO04:isadmin&gt;#info configure bridge port 1/1/15/9 flat | match exact:vlan</t>
  </si>
  <si>
    <t>WC-OMU-AO04:isadmin&gt;#info configure bridge port 1/1/15/11 flat | match exact:vla</t>
  </si>
  <si>
    <t>n-id</t>
  </si>
  <si>
    <t>WC-OMU-AO04:isadmin&gt;#info configure bridge port 1/1/15/13 flat | match exact:vla</t>
  </si>
  <si>
    <t>WC-OMU-AO04:isadmin&gt;#info configure bridge port 1/1/15/15 flat | match exact:vla</t>
  </si>
  <si>
    <t>WC-OMU-AO04:isadmin&gt;#info configure bridge port 1/1/15/17 flat | match exact:vla</t>
  </si>
  <si>
    <t>WC-OMU-AO04:isadmin&gt;#info configure bridge port 1/1/15/19 flat | match exact:vla</t>
  </si>
  <si>
    <t>WC-OMU-AO04:isadmin&gt;#info configure bridge port 1/1/15/21 flat | match exact:vla</t>
  </si>
  <si>
    <t>WC-OMU-AO04:isadmin&gt;#info configure bridge port 1/1/15/23 flat | match exact:vla</t>
  </si>
  <si>
    <t>WC-OMU-AO04:isadmin&gt;#info configure bridge port 1/1/15/25 flat | match exact:vla</t>
  </si>
  <si>
    <t>WC-OMU-AO04:isadmin&gt;#info configure bridge port 1/1/15/27 flat | match exact:vla</t>
  </si>
  <si>
    <t>WC-OMU-AO04:isadmin&gt;#info configure bridge port 1/1/15/29 flat | match exact:vla</t>
  </si>
  <si>
    <t>WC-OMU-AO04:isadmin&gt;#info configure bridge port 1/1/15/31 flat | match exact:vla</t>
  </si>
  <si>
    <t>WC-OMU-AO04:isadmin&gt;#info configure bridge port 1/1/15/33 flat | match exact:vla</t>
  </si>
  <si>
    <t>WC-OMU-AO04:isadmin&gt;#info configure bridge port 1/1/15/35 flat | match exact:vla</t>
  </si>
  <si>
    <t>WC-OMU-AO04:isadmin&gt;#info configure bridge port 1/1/16/1 flat | match exact:vlan</t>
  </si>
  <si>
    <t>WC-OMU-AO04:isadmin&gt;#info configure bridge port 1/1/16/5 flat | match exact:vlan</t>
  </si>
  <si>
    <t>WC-OMU-AO04:isadmin&gt;#info configure bridge port 1/1/16/11 flat | match exact:vla</t>
  </si>
  <si>
    <t>WC-OMU-AO04:isadmin&gt;#info configure bridge port 1/1/16/13 flat | match exact:vla</t>
  </si>
  <si>
    <t>WC-OMU-AO04:isadmin&gt;#info configure bridge port 1/1/16/15 flat | match exact:vla</t>
  </si>
  <si>
    <t>WC-OMU-AO04:isadmin&gt;#info configure bridge port 1/1/16/17 flat | match exact:vla</t>
  </si>
  <si>
    <t>WC-OMU-AO04:isadmin&gt;#info configure bridge port 1/1/16/19 flat | match exact:vla</t>
  </si>
  <si>
    <t>WC-OMU-AO04:isadmin&gt;#info configure bridge port 1/1/16/21 flat | match exact:vla</t>
  </si>
  <si>
    <t>WC-OMU-AO04:isadmin&gt;#info configure bridge port 1/1/16/23 flat | match exact:vla</t>
  </si>
  <si>
    <t>WC-OMU-AO04:isadmin&gt;#info configure bridge port 1/1/16/25 flat | match exact:vla</t>
  </si>
  <si>
    <t>WC-OMU-AO04:isadmin&gt;#info configure bridge port 1/1/16/27 flat | match exact:vla</t>
  </si>
  <si>
    <t>WC-OMU-AO04:isadmin&gt;#info configure bridge port 1/1/16/29 flat | match exact:vla</t>
  </si>
  <si>
    <t>Automatic Bridge Port output</t>
  </si>
  <si>
    <t>SRAN</t>
  </si>
  <si>
    <t>id</t>
  </si>
  <si>
    <t>name</t>
  </si>
  <si>
    <t>mode</t>
  </si>
  <si>
    <t>Ingress QoS Profile Now</t>
  </si>
  <si>
    <t>Ingress QoS Profile After Migration</t>
  </si>
  <si>
    <t>MW_MGMT</t>
  </si>
  <si>
    <t>residential-bridge</t>
  </si>
  <si>
    <t>Default_TC7</t>
  </si>
  <si>
    <t>Default_TC3</t>
  </si>
  <si>
    <t>MW_MGMT_101</t>
  </si>
  <si>
    <t>MW_MGMT_102</t>
  </si>
  <si>
    <t>CSG_MGMT</t>
  </si>
  <si>
    <t>2G3G_SRAN</t>
  </si>
  <si>
    <t>Ingress_Default</t>
  </si>
  <si>
    <t>LTE_OAM</t>
  </si>
  <si>
    <t>LTE_OAM_2</t>
  </si>
  <si>
    <t>LTE_SRAN</t>
  </si>
  <si>
    <t>2G3G_OAM</t>
  </si>
  <si>
    <t>Test_VLAN_MBH</t>
  </si>
  <si>
    <t>2G_3G_SRAN_2</t>
  </si>
  <si>
    <t>2G_3G_OAM_2</t>
  </si>
  <si>
    <t>LTE_SRAN_2</t>
  </si>
  <si>
    <t>FixedLTE</t>
  </si>
  <si>
    <t xml:space="preserve">DO it only for the Identified ONTs that have the services </t>
  </si>
  <si>
    <t>####info configure qos interfaces</t>
  </si>
  <si>
    <t>#####info configure ethernet line to check which one has uni</t>
  </si>
  <si>
    <t>###info configure the bridge ports</t>
  </si>
  <si>
    <t>In this OLT there are no ONTs with SRAN service</t>
  </si>
  <si>
    <t>Wi-Fi_NMS</t>
  </si>
  <si>
    <t>WIFI_NMS</t>
  </si>
  <si>
    <t>????</t>
  </si>
  <si>
    <t>C996 5G_RAN</t>
  </si>
  <si>
    <t>C997 5G_OAM</t>
  </si>
  <si>
    <t>vlans creation</t>
  </si>
  <si>
    <t>HSI, Default_TC7 etc…</t>
  </si>
  <si>
    <t>different values right now Default_TC7, HSI, Ingress_Default
Should it be Defualt_TC3 ?</t>
  </si>
  <si>
    <t>no vlan in the network with this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</si>
</sst>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1"/>
      <name val="Helvetica"/>
      <family val="2"/>
    </font>
    <font>
      <sz val="12"/>
      <color rgb="FFFF0000"/>
      <name val="Helvetica"/>
      <family val="2"/>
    </font>
    <font>
      <sz val="12"/>
      <color rgb="FF00B05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14" fillId="0" borderId="0" xfId="0" applyFont="1"/>
    <xf numFmtId="0" fontId="0" fillId="33" borderId="0" xfId="0" applyFill="1"/>
    <xf numFmtId="0" fontId="19" fillId="33" borderId="0" xfId="0" applyFont="1" applyFill="1" applyAlignment="1">
      <alignment horizontal="center"/>
    </xf>
    <xf numFmtId="0" fontId="0" fillId="0" borderId="10" xfId="0" applyBorder="1"/>
    <xf numFmtId="0" fontId="14" fillId="0" borderId="10" xfId="0" applyFont="1" applyBorder="1"/>
    <xf numFmtId="0" fontId="18" fillId="0" borderId="10" xfId="0" applyFont="1" applyBorder="1" applyAlignment="1">
      <alignment vertical="center"/>
    </xf>
    <xf numFmtId="0" fontId="22" fillId="0" borderId="10" xfId="0" applyFont="1" applyBorder="1"/>
    <xf numFmtId="0" fontId="24" fillId="0" borderId="10" xfId="0" applyFont="1" applyBorder="1"/>
    <xf numFmtId="0" fontId="22" fillId="33" borderId="10" xfId="0" applyFont="1" applyFill="1" applyBorder="1"/>
    <xf numFmtId="0" fontId="0" fillId="33" borderId="10" xfId="0" applyFill="1" applyBorder="1"/>
    <xf numFmtId="0" fontId="14" fillId="33" borderId="10" xfId="0" applyFont="1" applyFill="1" applyBorder="1"/>
    <xf numFmtId="0" fontId="18" fillId="33" borderId="10" xfId="0" applyFont="1" applyFill="1" applyBorder="1" applyAlignment="1">
      <alignment vertical="center"/>
    </xf>
    <xf numFmtId="0" fontId="0" fillId="0" borderId="10" xfId="0" applyBorder="1" applyAlignment="1">
      <alignment wrapText="1"/>
    </xf>
    <xf numFmtId="0" fontId="23" fillId="34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workbookViewId="0">
      <selection activeCell="H1" sqref="H1"/>
    </sheetView>
  </sheetViews>
  <sheetFormatPr baseColWidth="10" defaultRowHeight="16" x14ac:dyDescent="0.2"/>
  <cols>
    <col min="7" max="7" width="13.83203125" bestFit="1" customWidth="1"/>
    <col min="8" max="8" width="25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345</v>
      </c>
    </row>
    <row r="2" spans="1:8" x14ac:dyDescent="0.2">
      <c r="A2" t="s">
        <v>7</v>
      </c>
      <c r="B2">
        <v>255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tr">
        <f>SUBSTITUTE(SUBSTITUTE(SUBSTITUTE(SUBSTITUTE(SUBSTITUTE(G2,"R1.S1.LT","1/1/"),".PON","/"),".ONT","/"),".C","/"),".P","/")</f>
        <v>1/1/15/1</v>
      </c>
    </row>
    <row r="3" spans="1:8" x14ac:dyDescent="0.2">
      <c r="A3" t="s">
        <v>13</v>
      </c>
      <c r="B3">
        <v>253</v>
      </c>
      <c r="C3" t="s">
        <v>8</v>
      </c>
      <c r="D3" t="s">
        <v>9</v>
      </c>
      <c r="E3" t="s">
        <v>14</v>
      </c>
      <c r="F3" t="s">
        <v>15</v>
      </c>
      <c r="G3" t="s">
        <v>12</v>
      </c>
      <c r="H3" t="str">
        <f t="shared" ref="H3:H66" si="0">SUBSTITUTE(SUBSTITUTE(SUBSTITUTE(SUBSTITUTE(SUBSTITUTE(G3,"R1.S1.LT","1/1/"),".PON","/"),".ONT","/"),".C","/"),".P","/")</f>
        <v>1/1/15/1</v>
      </c>
    </row>
    <row r="4" spans="1:8" x14ac:dyDescent="0.2">
      <c r="A4" t="s">
        <v>16</v>
      </c>
      <c r="B4">
        <v>252</v>
      </c>
      <c r="C4" t="s">
        <v>8</v>
      </c>
      <c r="D4" t="s">
        <v>9</v>
      </c>
      <c r="E4" t="s">
        <v>17</v>
      </c>
      <c r="F4" t="s">
        <v>18</v>
      </c>
      <c r="G4" t="s">
        <v>12</v>
      </c>
      <c r="H4" t="str">
        <f t="shared" si="0"/>
        <v>1/1/15/1</v>
      </c>
    </row>
    <row r="5" spans="1:8" x14ac:dyDescent="0.2">
      <c r="A5" t="s">
        <v>19</v>
      </c>
      <c r="B5">
        <v>254</v>
      </c>
      <c r="C5" t="s">
        <v>8</v>
      </c>
      <c r="D5" t="s">
        <v>9</v>
      </c>
      <c r="E5" t="s">
        <v>20</v>
      </c>
      <c r="F5" t="s">
        <v>21</v>
      </c>
      <c r="G5" t="s">
        <v>12</v>
      </c>
      <c r="H5" t="str">
        <f t="shared" si="0"/>
        <v>1/1/15/1</v>
      </c>
    </row>
    <row r="6" spans="1:8" x14ac:dyDescent="0.2">
      <c r="A6" t="s">
        <v>22</v>
      </c>
      <c r="B6">
        <v>251</v>
      </c>
      <c r="C6" t="s">
        <v>8</v>
      </c>
      <c r="D6" t="s">
        <v>9</v>
      </c>
      <c r="E6" t="s">
        <v>23</v>
      </c>
      <c r="F6" t="s">
        <v>24</v>
      </c>
      <c r="G6" t="s">
        <v>12</v>
      </c>
      <c r="H6" t="str">
        <f t="shared" si="0"/>
        <v>1/1/15/1</v>
      </c>
    </row>
    <row r="7" spans="1:8" x14ac:dyDescent="0.2">
      <c r="A7" t="s">
        <v>25</v>
      </c>
      <c r="B7">
        <v>255</v>
      </c>
      <c r="C7" t="s">
        <v>8</v>
      </c>
      <c r="D7" t="s">
        <v>9</v>
      </c>
      <c r="E7" t="s">
        <v>10</v>
      </c>
      <c r="F7" t="s">
        <v>11</v>
      </c>
      <c r="G7" t="s">
        <v>26</v>
      </c>
      <c r="H7" t="str">
        <f t="shared" si="0"/>
        <v>1/1/15/3</v>
      </c>
    </row>
    <row r="8" spans="1:8" x14ac:dyDescent="0.2">
      <c r="A8" t="s">
        <v>27</v>
      </c>
      <c r="B8">
        <v>253</v>
      </c>
      <c r="C8" t="s">
        <v>8</v>
      </c>
      <c r="D8" t="s">
        <v>9</v>
      </c>
      <c r="E8" t="s">
        <v>14</v>
      </c>
      <c r="F8" t="s">
        <v>15</v>
      </c>
      <c r="G8" t="s">
        <v>26</v>
      </c>
      <c r="H8" t="str">
        <f t="shared" si="0"/>
        <v>1/1/15/3</v>
      </c>
    </row>
    <row r="9" spans="1:8" x14ac:dyDescent="0.2">
      <c r="A9" t="s">
        <v>28</v>
      </c>
      <c r="B9">
        <v>252</v>
      </c>
      <c r="C9" t="s">
        <v>8</v>
      </c>
      <c r="D9" t="s">
        <v>9</v>
      </c>
      <c r="E9" t="s">
        <v>17</v>
      </c>
      <c r="F9" t="s">
        <v>18</v>
      </c>
      <c r="G9" t="s">
        <v>26</v>
      </c>
      <c r="H9" t="str">
        <f t="shared" si="0"/>
        <v>1/1/15/3</v>
      </c>
    </row>
    <row r="10" spans="1:8" x14ac:dyDescent="0.2">
      <c r="A10" t="s">
        <v>29</v>
      </c>
      <c r="B10">
        <v>254</v>
      </c>
      <c r="C10" t="s">
        <v>8</v>
      </c>
      <c r="D10" t="s">
        <v>9</v>
      </c>
      <c r="E10" t="s">
        <v>20</v>
      </c>
      <c r="F10" t="s">
        <v>21</v>
      </c>
      <c r="G10" t="s">
        <v>26</v>
      </c>
      <c r="H10" t="str">
        <f t="shared" si="0"/>
        <v>1/1/15/3</v>
      </c>
    </row>
    <row r="11" spans="1:8" x14ac:dyDescent="0.2">
      <c r="A11" t="s">
        <v>30</v>
      </c>
      <c r="B11">
        <v>251</v>
      </c>
      <c r="C11" t="s">
        <v>8</v>
      </c>
      <c r="D11" t="s">
        <v>9</v>
      </c>
      <c r="E11" t="s">
        <v>23</v>
      </c>
      <c r="F11" t="s">
        <v>24</v>
      </c>
      <c r="G11" t="s">
        <v>26</v>
      </c>
      <c r="H11" t="str">
        <f t="shared" si="0"/>
        <v>1/1/15/3</v>
      </c>
    </row>
    <row r="12" spans="1:8" x14ac:dyDescent="0.2">
      <c r="A12" t="s">
        <v>31</v>
      </c>
      <c r="B12">
        <v>255</v>
      </c>
      <c r="C12" t="s">
        <v>8</v>
      </c>
      <c r="D12" t="s">
        <v>9</v>
      </c>
      <c r="E12" t="s">
        <v>10</v>
      </c>
      <c r="F12" t="s">
        <v>11</v>
      </c>
      <c r="G12" t="s">
        <v>32</v>
      </c>
      <c r="H12" t="str">
        <f t="shared" si="0"/>
        <v>1/1/15/5</v>
      </c>
    </row>
    <row r="13" spans="1:8" x14ac:dyDescent="0.2">
      <c r="A13" t="s">
        <v>33</v>
      </c>
      <c r="B13">
        <v>253</v>
      </c>
      <c r="C13" t="s">
        <v>8</v>
      </c>
      <c r="D13" t="s">
        <v>9</v>
      </c>
      <c r="E13" t="s">
        <v>14</v>
      </c>
      <c r="F13" t="s">
        <v>15</v>
      </c>
      <c r="G13" t="s">
        <v>32</v>
      </c>
      <c r="H13" t="str">
        <f t="shared" si="0"/>
        <v>1/1/15/5</v>
      </c>
    </row>
    <row r="14" spans="1:8" x14ac:dyDescent="0.2">
      <c r="A14" t="s">
        <v>34</v>
      </c>
      <c r="B14">
        <v>252</v>
      </c>
      <c r="C14" t="s">
        <v>8</v>
      </c>
      <c r="D14" t="s">
        <v>9</v>
      </c>
      <c r="E14" t="s">
        <v>17</v>
      </c>
      <c r="F14" t="s">
        <v>18</v>
      </c>
      <c r="G14" t="s">
        <v>32</v>
      </c>
      <c r="H14" t="str">
        <f t="shared" si="0"/>
        <v>1/1/15/5</v>
      </c>
    </row>
    <row r="15" spans="1:8" x14ac:dyDescent="0.2">
      <c r="A15" t="s">
        <v>35</v>
      </c>
      <c r="B15">
        <v>254</v>
      </c>
      <c r="C15" t="s">
        <v>8</v>
      </c>
      <c r="D15" t="s">
        <v>9</v>
      </c>
      <c r="E15" t="s">
        <v>20</v>
      </c>
      <c r="F15" t="s">
        <v>21</v>
      </c>
      <c r="G15" t="s">
        <v>32</v>
      </c>
      <c r="H15" t="str">
        <f t="shared" si="0"/>
        <v>1/1/15/5</v>
      </c>
    </row>
    <row r="16" spans="1:8" x14ac:dyDescent="0.2">
      <c r="A16" t="s">
        <v>36</v>
      </c>
      <c r="B16">
        <v>255</v>
      </c>
      <c r="C16" t="s">
        <v>8</v>
      </c>
      <c r="D16" t="s">
        <v>9</v>
      </c>
      <c r="E16" t="s">
        <v>10</v>
      </c>
      <c r="F16" t="s">
        <v>11</v>
      </c>
      <c r="G16" t="s">
        <v>37</v>
      </c>
      <c r="H16" t="str">
        <f t="shared" si="0"/>
        <v>1/1/15/7</v>
      </c>
    </row>
    <row r="17" spans="1:8" x14ac:dyDescent="0.2">
      <c r="A17" t="s">
        <v>38</v>
      </c>
      <c r="B17">
        <v>253</v>
      </c>
      <c r="C17" t="s">
        <v>8</v>
      </c>
      <c r="D17" t="s">
        <v>9</v>
      </c>
      <c r="E17" t="s">
        <v>14</v>
      </c>
      <c r="F17" t="s">
        <v>15</v>
      </c>
      <c r="G17" t="s">
        <v>37</v>
      </c>
      <c r="H17" t="str">
        <f t="shared" si="0"/>
        <v>1/1/15/7</v>
      </c>
    </row>
    <row r="18" spans="1:8" x14ac:dyDescent="0.2">
      <c r="A18" t="s">
        <v>39</v>
      </c>
      <c r="B18">
        <v>252</v>
      </c>
      <c r="C18" t="s">
        <v>8</v>
      </c>
      <c r="D18" t="s">
        <v>9</v>
      </c>
      <c r="E18" t="s">
        <v>17</v>
      </c>
      <c r="F18" t="s">
        <v>18</v>
      </c>
      <c r="G18" t="s">
        <v>37</v>
      </c>
      <c r="H18" t="str">
        <f t="shared" si="0"/>
        <v>1/1/15/7</v>
      </c>
    </row>
    <row r="19" spans="1:8" x14ac:dyDescent="0.2">
      <c r="A19" t="s">
        <v>40</v>
      </c>
      <c r="B19">
        <v>254</v>
      </c>
      <c r="C19" t="s">
        <v>8</v>
      </c>
      <c r="D19" t="s">
        <v>9</v>
      </c>
      <c r="E19" t="s">
        <v>20</v>
      </c>
      <c r="F19" t="s">
        <v>21</v>
      </c>
      <c r="G19" t="s">
        <v>37</v>
      </c>
      <c r="H19" t="str">
        <f t="shared" si="0"/>
        <v>1/1/15/7</v>
      </c>
    </row>
    <row r="20" spans="1:8" x14ac:dyDescent="0.2">
      <c r="A20" t="s">
        <v>41</v>
      </c>
      <c r="B20">
        <v>254</v>
      </c>
      <c r="C20" t="s">
        <v>8</v>
      </c>
      <c r="D20" t="s">
        <v>9</v>
      </c>
      <c r="E20" t="s">
        <v>10</v>
      </c>
      <c r="F20" t="s">
        <v>11</v>
      </c>
      <c r="G20" t="s">
        <v>42</v>
      </c>
      <c r="H20" t="str">
        <f t="shared" si="0"/>
        <v>1/1/15/9</v>
      </c>
    </row>
    <row r="21" spans="1:8" x14ac:dyDescent="0.2">
      <c r="A21" t="s">
        <v>43</v>
      </c>
      <c r="B21">
        <v>255</v>
      </c>
      <c r="C21" t="s">
        <v>8</v>
      </c>
      <c r="D21" t="s">
        <v>9</v>
      </c>
      <c r="E21" t="s">
        <v>14</v>
      </c>
      <c r="F21" t="s">
        <v>15</v>
      </c>
      <c r="G21" t="s">
        <v>42</v>
      </c>
      <c r="H21" t="str">
        <f t="shared" si="0"/>
        <v>1/1/15/9</v>
      </c>
    </row>
    <row r="22" spans="1:8" x14ac:dyDescent="0.2">
      <c r="A22" t="s">
        <v>44</v>
      </c>
      <c r="B22">
        <v>253</v>
      </c>
      <c r="C22" t="s">
        <v>8</v>
      </c>
      <c r="D22" t="s">
        <v>9</v>
      </c>
      <c r="E22" t="s">
        <v>23</v>
      </c>
      <c r="F22" t="s">
        <v>24</v>
      </c>
      <c r="G22" t="s">
        <v>42</v>
      </c>
      <c r="H22" t="str">
        <f t="shared" si="0"/>
        <v>1/1/15/9</v>
      </c>
    </row>
    <row r="23" spans="1:8" x14ac:dyDescent="0.2">
      <c r="A23" t="s">
        <v>45</v>
      </c>
      <c r="B23">
        <v>252</v>
      </c>
      <c r="C23" t="s">
        <v>8</v>
      </c>
      <c r="D23" t="s">
        <v>9</v>
      </c>
      <c r="E23" t="s">
        <v>46</v>
      </c>
      <c r="F23" t="s">
        <v>47</v>
      </c>
      <c r="G23" t="s">
        <v>42</v>
      </c>
      <c r="H23" t="str">
        <f t="shared" si="0"/>
        <v>1/1/15/9</v>
      </c>
    </row>
    <row r="24" spans="1:8" x14ac:dyDescent="0.2">
      <c r="A24" t="s">
        <v>48</v>
      </c>
      <c r="B24">
        <v>255</v>
      </c>
      <c r="C24" t="s">
        <v>8</v>
      </c>
      <c r="D24" t="s">
        <v>9</v>
      </c>
      <c r="E24" t="s">
        <v>10</v>
      </c>
      <c r="F24" t="s">
        <v>11</v>
      </c>
      <c r="G24" t="s">
        <v>49</v>
      </c>
      <c r="H24" t="str">
        <f t="shared" si="0"/>
        <v>1/1/15/11</v>
      </c>
    </row>
    <row r="25" spans="1:8" x14ac:dyDescent="0.2">
      <c r="A25" t="s">
        <v>50</v>
      </c>
      <c r="B25">
        <v>254</v>
      </c>
      <c r="C25" t="s">
        <v>8</v>
      </c>
      <c r="D25" t="s">
        <v>9</v>
      </c>
      <c r="E25" t="s">
        <v>14</v>
      </c>
      <c r="F25" t="s">
        <v>15</v>
      </c>
      <c r="G25" t="s">
        <v>49</v>
      </c>
      <c r="H25" t="str">
        <f t="shared" si="0"/>
        <v>1/1/15/11</v>
      </c>
    </row>
    <row r="26" spans="1:8" x14ac:dyDescent="0.2">
      <c r="A26" t="s">
        <v>51</v>
      </c>
      <c r="B26">
        <v>252</v>
      </c>
      <c r="C26" t="s">
        <v>8</v>
      </c>
      <c r="D26" t="s">
        <v>9</v>
      </c>
      <c r="E26" t="s">
        <v>23</v>
      </c>
      <c r="F26" t="s">
        <v>24</v>
      </c>
      <c r="G26" t="s">
        <v>49</v>
      </c>
      <c r="H26" t="str">
        <f t="shared" si="0"/>
        <v>1/1/15/11</v>
      </c>
    </row>
    <row r="27" spans="1:8" x14ac:dyDescent="0.2">
      <c r="A27" t="s">
        <v>52</v>
      </c>
      <c r="B27">
        <v>253</v>
      </c>
      <c r="C27" t="s">
        <v>8</v>
      </c>
      <c r="D27" t="s">
        <v>9</v>
      </c>
      <c r="E27" t="s">
        <v>46</v>
      </c>
      <c r="F27" t="s">
        <v>47</v>
      </c>
      <c r="G27" t="s">
        <v>49</v>
      </c>
      <c r="H27" t="str">
        <f t="shared" si="0"/>
        <v>1/1/15/11</v>
      </c>
    </row>
    <row r="28" spans="1:8" x14ac:dyDescent="0.2">
      <c r="A28" t="s">
        <v>53</v>
      </c>
      <c r="B28">
        <v>255</v>
      </c>
      <c r="C28" t="s">
        <v>8</v>
      </c>
      <c r="D28" t="s">
        <v>9</v>
      </c>
      <c r="E28" t="s">
        <v>54</v>
      </c>
      <c r="F28" t="s">
        <v>55</v>
      </c>
      <c r="G28" t="s">
        <v>56</v>
      </c>
      <c r="H28" t="str">
        <f t="shared" si="0"/>
        <v>1/1/15/13</v>
      </c>
    </row>
    <row r="29" spans="1:8" x14ac:dyDescent="0.2">
      <c r="A29" t="s">
        <v>57</v>
      </c>
      <c r="B29">
        <v>254</v>
      </c>
      <c r="C29" t="s">
        <v>8</v>
      </c>
      <c r="D29" t="s">
        <v>9</v>
      </c>
      <c r="E29" t="s">
        <v>46</v>
      </c>
      <c r="F29" t="s">
        <v>47</v>
      </c>
      <c r="G29" t="s">
        <v>56</v>
      </c>
      <c r="H29" t="str">
        <f t="shared" si="0"/>
        <v>1/1/15/13</v>
      </c>
    </row>
    <row r="30" spans="1:8" x14ac:dyDescent="0.2">
      <c r="A30" t="s">
        <v>58</v>
      </c>
      <c r="B30">
        <v>255</v>
      </c>
      <c r="C30" t="s">
        <v>8</v>
      </c>
      <c r="D30" t="s">
        <v>9</v>
      </c>
      <c r="E30" t="s">
        <v>10</v>
      </c>
      <c r="F30" t="s">
        <v>11</v>
      </c>
      <c r="G30" t="s">
        <v>59</v>
      </c>
      <c r="H30" t="str">
        <f t="shared" si="0"/>
        <v>1/1/15/15</v>
      </c>
    </row>
    <row r="31" spans="1:8" x14ac:dyDescent="0.2">
      <c r="A31" t="s">
        <v>60</v>
      </c>
      <c r="B31">
        <v>254</v>
      </c>
      <c r="C31" t="s">
        <v>8</v>
      </c>
      <c r="D31" t="s">
        <v>9</v>
      </c>
      <c r="E31" t="s">
        <v>14</v>
      </c>
      <c r="F31" t="s">
        <v>15</v>
      </c>
      <c r="G31" t="s">
        <v>59</v>
      </c>
      <c r="H31" t="str">
        <f t="shared" si="0"/>
        <v>1/1/15/15</v>
      </c>
    </row>
    <row r="32" spans="1:8" x14ac:dyDescent="0.2">
      <c r="A32" t="s">
        <v>61</v>
      </c>
      <c r="B32">
        <v>252</v>
      </c>
      <c r="C32" t="s">
        <v>8</v>
      </c>
      <c r="D32" t="s">
        <v>9</v>
      </c>
      <c r="E32" t="s">
        <v>23</v>
      </c>
      <c r="F32" t="s">
        <v>24</v>
      </c>
      <c r="G32" t="s">
        <v>59</v>
      </c>
      <c r="H32" t="str">
        <f t="shared" si="0"/>
        <v>1/1/15/15</v>
      </c>
    </row>
    <row r="33" spans="1:8" x14ac:dyDescent="0.2">
      <c r="A33" t="s">
        <v>62</v>
      </c>
      <c r="B33">
        <v>253</v>
      </c>
      <c r="C33" t="s">
        <v>8</v>
      </c>
      <c r="D33" t="s">
        <v>9</v>
      </c>
      <c r="E33" t="s">
        <v>46</v>
      </c>
      <c r="F33" t="s">
        <v>47</v>
      </c>
      <c r="G33" t="s">
        <v>59</v>
      </c>
      <c r="H33" t="str">
        <f t="shared" si="0"/>
        <v>1/1/15/15</v>
      </c>
    </row>
    <row r="34" spans="1:8" x14ac:dyDescent="0.2">
      <c r="A34" t="s">
        <v>63</v>
      </c>
      <c r="B34">
        <v>255</v>
      </c>
      <c r="C34" t="s">
        <v>8</v>
      </c>
      <c r="D34" t="s">
        <v>9</v>
      </c>
      <c r="E34" t="s">
        <v>10</v>
      </c>
      <c r="F34" t="s">
        <v>11</v>
      </c>
      <c r="G34" t="s">
        <v>64</v>
      </c>
      <c r="H34" t="str">
        <f t="shared" si="0"/>
        <v>1/1/15/17</v>
      </c>
    </row>
    <row r="35" spans="1:8" x14ac:dyDescent="0.2">
      <c r="A35" t="s">
        <v>65</v>
      </c>
      <c r="B35">
        <v>254</v>
      </c>
      <c r="C35" t="s">
        <v>8</v>
      </c>
      <c r="D35" t="s">
        <v>9</v>
      </c>
      <c r="E35" t="s">
        <v>14</v>
      </c>
      <c r="F35" t="s">
        <v>15</v>
      </c>
      <c r="G35" t="s">
        <v>64</v>
      </c>
      <c r="H35" t="str">
        <f t="shared" si="0"/>
        <v>1/1/15/17</v>
      </c>
    </row>
    <row r="36" spans="1:8" x14ac:dyDescent="0.2">
      <c r="A36" t="s">
        <v>66</v>
      </c>
      <c r="B36">
        <v>252</v>
      </c>
      <c r="C36" t="s">
        <v>8</v>
      </c>
      <c r="D36" t="s">
        <v>9</v>
      </c>
      <c r="E36" t="s">
        <v>17</v>
      </c>
      <c r="F36" t="s">
        <v>18</v>
      </c>
      <c r="G36" t="s">
        <v>64</v>
      </c>
      <c r="H36" t="str">
        <f t="shared" si="0"/>
        <v>1/1/15/17</v>
      </c>
    </row>
    <row r="37" spans="1:8" x14ac:dyDescent="0.2">
      <c r="A37" t="s">
        <v>67</v>
      </c>
      <c r="B37">
        <v>253</v>
      </c>
      <c r="C37" t="s">
        <v>8</v>
      </c>
      <c r="D37" t="s">
        <v>9</v>
      </c>
      <c r="E37" t="s">
        <v>20</v>
      </c>
      <c r="F37" t="s">
        <v>21</v>
      </c>
      <c r="G37" t="s">
        <v>64</v>
      </c>
      <c r="H37" t="str">
        <f t="shared" si="0"/>
        <v>1/1/15/17</v>
      </c>
    </row>
    <row r="38" spans="1:8" x14ac:dyDescent="0.2">
      <c r="A38" t="s">
        <v>68</v>
      </c>
      <c r="B38">
        <v>251</v>
      </c>
      <c r="C38" t="s">
        <v>8</v>
      </c>
      <c r="D38" t="s">
        <v>9</v>
      </c>
      <c r="E38" t="s">
        <v>46</v>
      </c>
      <c r="F38" t="s">
        <v>47</v>
      </c>
      <c r="G38" t="s">
        <v>64</v>
      </c>
      <c r="H38" t="str">
        <f t="shared" si="0"/>
        <v>1/1/15/17</v>
      </c>
    </row>
    <row r="39" spans="1:8" x14ac:dyDescent="0.2">
      <c r="A39" t="s">
        <v>69</v>
      </c>
      <c r="B39">
        <v>255</v>
      </c>
      <c r="C39" t="s">
        <v>8</v>
      </c>
      <c r="D39" t="s">
        <v>9</v>
      </c>
      <c r="E39" t="s">
        <v>10</v>
      </c>
      <c r="F39" t="s">
        <v>11</v>
      </c>
      <c r="G39" t="s">
        <v>70</v>
      </c>
      <c r="H39" t="str">
        <f t="shared" si="0"/>
        <v>1/1/15/19</v>
      </c>
    </row>
    <row r="40" spans="1:8" x14ac:dyDescent="0.2">
      <c r="A40" t="s">
        <v>71</v>
      </c>
      <c r="B40">
        <v>254</v>
      </c>
      <c r="C40" t="s">
        <v>8</v>
      </c>
      <c r="D40" t="s">
        <v>9</v>
      </c>
      <c r="E40" t="s">
        <v>14</v>
      </c>
      <c r="F40" t="s">
        <v>15</v>
      </c>
      <c r="G40" t="s">
        <v>70</v>
      </c>
      <c r="H40" t="str">
        <f t="shared" si="0"/>
        <v>1/1/15/19</v>
      </c>
    </row>
    <row r="41" spans="1:8" x14ac:dyDescent="0.2">
      <c r="A41" t="s">
        <v>72</v>
      </c>
      <c r="B41">
        <v>253</v>
      </c>
      <c r="C41" t="s">
        <v>8</v>
      </c>
      <c r="D41" t="s">
        <v>9</v>
      </c>
      <c r="E41" t="s">
        <v>17</v>
      </c>
      <c r="F41" t="s">
        <v>18</v>
      </c>
      <c r="G41" t="s">
        <v>70</v>
      </c>
      <c r="H41" t="str">
        <f t="shared" si="0"/>
        <v>1/1/15/19</v>
      </c>
    </row>
    <row r="42" spans="1:8" x14ac:dyDescent="0.2">
      <c r="A42" t="s">
        <v>73</v>
      </c>
      <c r="B42">
        <v>252</v>
      </c>
      <c r="C42" t="s">
        <v>8</v>
      </c>
      <c r="D42" t="s">
        <v>9</v>
      </c>
      <c r="E42" t="s">
        <v>20</v>
      </c>
      <c r="F42" t="s">
        <v>21</v>
      </c>
      <c r="G42" t="s">
        <v>70</v>
      </c>
      <c r="H42" t="str">
        <f t="shared" si="0"/>
        <v>1/1/15/19</v>
      </c>
    </row>
    <row r="43" spans="1:8" x14ac:dyDescent="0.2">
      <c r="A43" t="s">
        <v>74</v>
      </c>
      <c r="B43">
        <v>251</v>
      </c>
      <c r="C43" t="s">
        <v>8</v>
      </c>
      <c r="D43" t="s">
        <v>9</v>
      </c>
      <c r="E43" t="s">
        <v>46</v>
      </c>
      <c r="F43" t="s">
        <v>47</v>
      </c>
      <c r="G43" t="s">
        <v>70</v>
      </c>
      <c r="H43" t="str">
        <f t="shared" si="0"/>
        <v>1/1/15/19</v>
      </c>
    </row>
    <row r="44" spans="1:8" x14ac:dyDescent="0.2">
      <c r="A44" t="s">
        <v>75</v>
      </c>
      <c r="B44">
        <v>255</v>
      </c>
      <c r="C44" t="s">
        <v>8</v>
      </c>
      <c r="D44" t="s">
        <v>9</v>
      </c>
      <c r="E44" t="s">
        <v>10</v>
      </c>
      <c r="F44" t="s">
        <v>11</v>
      </c>
      <c r="G44" t="s">
        <v>76</v>
      </c>
      <c r="H44" t="str">
        <f t="shared" si="0"/>
        <v>1/1/15/21</v>
      </c>
    </row>
    <row r="45" spans="1:8" x14ac:dyDescent="0.2">
      <c r="A45" t="s">
        <v>77</v>
      </c>
      <c r="B45">
        <v>254</v>
      </c>
      <c r="C45" t="s">
        <v>8</v>
      </c>
      <c r="D45" t="s">
        <v>9</v>
      </c>
      <c r="E45" t="s">
        <v>14</v>
      </c>
      <c r="F45" t="s">
        <v>15</v>
      </c>
      <c r="G45" t="s">
        <v>76</v>
      </c>
      <c r="H45" t="str">
        <f t="shared" si="0"/>
        <v>1/1/15/21</v>
      </c>
    </row>
    <row r="46" spans="1:8" x14ac:dyDescent="0.2">
      <c r="A46" t="s">
        <v>78</v>
      </c>
      <c r="B46">
        <v>251</v>
      </c>
      <c r="C46" t="s">
        <v>8</v>
      </c>
      <c r="D46" t="s">
        <v>9</v>
      </c>
      <c r="E46" t="s">
        <v>23</v>
      </c>
      <c r="F46" t="s">
        <v>24</v>
      </c>
      <c r="G46" t="s">
        <v>76</v>
      </c>
      <c r="H46" t="str">
        <f t="shared" si="0"/>
        <v>1/1/15/21</v>
      </c>
    </row>
    <row r="47" spans="1:8" x14ac:dyDescent="0.2">
      <c r="A47" t="s">
        <v>79</v>
      </c>
      <c r="B47">
        <v>255</v>
      </c>
      <c r="C47" t="s">
        <v>8</v>
      </c>
      <c r="D47" t="s">
        <v>9</v>
      </c>
      <c r="E47" t="s">
        <v>10</v>
      </c>
      <c r="F47" t="s">
        <v>11</v>
      </c>
      <c r="G47" t="s">
        <v>80</v>
      </c>
      <c r="H47" t="str">
        <f t="shared" si="0"/>
        <v>1/1/15/23</v>
      </c>
    </row>
    <row r="48" spans="1:8" x14ac:dyDescent="0.2">
      <c r="A48" t="s">
        <v>81</v>
      </c>
      <c r="B48">
        <v>254</v>
      </c>
      <c r="C48" t="s">
        <v>8</v>
      </c>
      <c r="D48" t="s">
        <v>9</v>
      </c>
      <c r="E48" t="s">
        <v>14</v>
      </c>
      <c r="F48" t="s">
        <v>15</v>
      </c>
      <c r="G48" t="s">
        <v>80</v>
      </c>
      <c r="H48" t="str">
        <f t="shared" si="0"/>
        <v>1/1/15/23</v>
      </c>
    </row>
    <row r="49" spans="1:8" x14ac:dyDescent="0.2">
      <c r="A49" t="s">
        <v>82</v>
      </c>
      <c r="B49">
        <v>252</v>
      </c>
      <c r="C49" t="s">
        <v>8</v>
      </c>
      <c r="D49" t="s">
        <v>9</v>
      </c>
      <c r="E49" t="s">
        <v>17</v>
      </c>
      <c r="F49" t="s">
        <v>18</v>
      </c>
      <c r="G49" t="s">
        <v>80</v>
      </c>
      <c r="H49" t="str">
        <f t="shared" si="0"/>
        <v>1/1/15/23</v>
      </c>
    </row>
    <row r="50" spans="1:8" x14ac:dyDescent="0.2">
      <c r="A50" t="s">
        <v>83</v>
      </c>
      <c r="B50">
        <v>253</v>
      </c>
      <c r="C50" t="s">
        <v>8</v>
      </c>
      <c r="D50" t="s">
        <v>9</v>
      </c>
      <c r="E50" t="s">
        <v>20</v>
      </c>
      <c r="F50" t="s">
        <v>21</v>
      </c>
      <c r="G50" t="s">
        <v>80</v>
      </c>
      <c r="H50" t="str">
        <f t="shared" si="0"/>
        <v>1/1/15/23</v>
      </c>
    </row>
    <row r="51" spans="1:8" x14ac:dyDescent="0.2">
      <c r="A51" t="s">
        <v>84</v>
      </c>
      <c r="B51">
        <v>250</v>
      </c>
      <c r="C51" t="s">
        <v>8</v>
      </c>
      <c r="D51" t="s">
        <v>9</v>
      </c>
      <c r="E51" t="s">
        <v>23</v>
      </c>
      <c r="F51" t="s">
        <v>24</v>
      </c>
      <c r="G51" t="s">
        <v>80</v>
      </c>
      <c r="H51" t="str">
        <f t="shared" si="0"/>
        <v>1/1/15/23</v>
      </c>
    </row>
    <row r="52" spans="1:8" x14ac:dyDescent="0.2">
      <c r="A52" t="s">
        <v>85</v>
      </c>
      <c r="B52">
        <v>251</v>
      </c>
      <c r="C52" t="s">
        <v>8</v>
      </c>
      <c r="D52" t="s">
        <v>9</v>
      </c>
      <c r="E52" t="s">
        <v>46</v>
      </c>
      <c r="F52" t="s">
        <v>47</v>
      </c>
      <c r="G52" t="s">
        <v>80</v>
      </c>
      <c r="H52" t="str">
        <f t="shared" si="0"/>
        <v>1/1/15/23</v>
      </c>
    </row>
    <row r="53" spans="1:8" x14ac:dyDescent="0.2">
      <c r="A53" t="s">
        <v>86</v>
      </c>
      <c r="B53">
        <v>255</v>
      </c>
      <c r="C53" t="s">
        <v>8</v>
      </c>
      <c r="D53" t="s">
        <v>9</v>
      </c>
      <c r="E53" t="s">
        <v>10</v>
      </c>
      <c r="F53" t="s">
        <v>11</v>
      </c>
      <c r="G53" t="s">
        <v>87</v>
      </c>
      <c r="H53" t="str">
        <f t="shared" si="0"/>
        <v>1/1/15/25</v>
      </c>
    </row>
    <row r="54" spans="1:8" x14ac:dyDescent="0.2">
      <c r="A54" t="s">
        <v>88</v>
      </c>
      <c r="B54">
        <v>254</v>
      </c>
      <c r="C54" t="s">
        <v>8</v>
      </c>
      <c r="D54" t="s">
        <v>9</v>
      </c>
      <c r="E54" t="s">
        <v>14</v>
      </c>
      <c r="F54" t="s">
        <v>15</v>
      </c>
      <c r="G54" t="s">
        <v>87</v>
      </c>
      <c r="H54" t="str">
        <f t="shared" si="0"/>
        <v>1/1/15/25</v>
      </c>
    </row>
    <row r="55" spans="1:8" x14ac:dyDescent="0.2">
      <c r="A55" t="s">
        <v>89</v>
      </c>
      <c r="B55">
        <v>254</v>
      </c>
      <c r="C55" t="s">
        <v>8</v>
      </c>
      <c r="D55" t="s">
        <v>9</v>
      </c>
      <c r="E55" t="s">
        <v>10</v>
      </c>
      <c r="F55" t="s">
        <v>11</v>
      </c>
      <c r="G55" t="s">
        <v>90</v>
      </c>
      <c r="H55" t="str">
        <f t="shared" si="0"/>
        <v>1/1/15/27</v>
      </c>
    </row>
    <row r="56" spans="1:8" x14ac:dyDescent="0.2">
      <c r="A56" t="s">
        <v>91</v>
      </c>
      <c r="B56">
        <v>255</v>
      </c>
      <c r="C56" t="s">
        <v>8</v>
      </c>
      <c r="D56" t="s">
        <v>9</v>
      </c>
      <c r="E56" t="s">
        <v>14</v>
      </c>
      <c r="F56" t="s">
        <v>15</v>
      </c>
      <c r="G56" t="s">
        <v>90</v>
      </c>
      <c r="H56" t="str">
        <f t="shared" si="0"/>
        <v>1/1/15/27</v>
      </c>
    </row>
    <row r="57" spans="1:8" x14ac:dyDescent="0.2">
      <c r="A57" t="s">
        <v>92</v>
      </c>
      <c r="B57">
        <v>253</v>
      </c>
      <c r="C57" t="s">
        <v>8</v>
      </c>
      <c r="D57" t="s">
        <v>9</v>
      </c>
      <c r="E57" t="s">
        <v>23</v>
      </c>
      <c r="F57" t="s">
        <v>24</v>
      </c>
      <c r="G57" t="s">
        <v>90</v>
      </c>
      <c r="H57" t="str">
        <f t="shared" si="0"/>
        <v>1/1/15/27</v>
      </c>
    </row>
    <row r="58" spans="1:8" x14ac:dyDescent="0.2">
      <c r="A58" t="s">
        <v>93</v>
      </c>
      <c r="B58">
        <v>255</v>
      </c>
      <c r="C58" t="s">
        <v>8</v>
      </c>
      <c r="D58" t="s">
        <v>9</v>
      </c>
      <c r="E58" t="s">
        <v>10</v>
      </c>
      <c r="F58" t="s">
        <v>11</v>
      </c>
      <c r="G58" t="s">
        <v>94</v>
      </c>
      <c r="H58" t="str">
        <f t="shared" si="0"/>
        <v>1/1/15/29</v>
      </c>
    </row>
    <row r="59" spans="1:8" x14ac:dyDescent="0.2">
      <c r="A59" t="s">
        <v>95</v>
      </c>
      <c r="B59">
        <v>254</v>
      </c>
      <c r="C59" t="s">
        <v>8</v>
      </c>
      <c r="D59" t="s">
        <v>9</v>
      </c>
      <c r="E59" t="s">
        <v>14</v>
      </c>
      <c r="F59" t="s">
        <v>15</v>
      </c>
      <c r="G59" t="s">
        <v>94</v>
      </c>
      <c r="H59" t="str">
        <f t="shared" si="0"/>
        <v>1/1/15/29</v>
      </c>
    </row>
    <row r="60" spans="1:8" x14ac:dyDescent="0.2">
      <c r="A60" t="s">
        <v>96</v>
      </c>
      <c r="B60">
        <v>255</v>
      </c>
      <c r="C60" t="s">
        <v>8</v>
      </c>
      <c r="D60" t="s">
        <v>9</v>
      </c>
      <c r="E60" t="s">
        <v>10</v>
      </c>
      <c r="F60" t="s">
        <v>11</v>
      </c>
      <c r="G60" t="s">
        <v>97</v>
      </c>
      <c r="H60" t="str">
        <f t="shared" si="0"/>
        <v>1/1/15/31</v>
      </c>
    </row>
    <row r="61" spans="1:8" x14ac:dyDescent="0.2">
      <c r="A61" t="s">
        <v>98</v>
      </c>
      <c r="B61">
        <v>254</v>
      </c>
      <c r="C61" t="s">
        <v>8</v>
      </c>
      <c r="D61" t="s">
        <v>9</v>
      </c>
      <c r="E61" t="s">
        <v>14</v>
      </c>
      <c r="F61" t="s">
        <v>15</v>
      </c>
      <c r="G61" t="s">
        <v>97</v>
      </c>
      <c r="H61" t="str">
        <f t="shared" si="0"/>
        <v>1/1/15/31</v>
      </c>
    </row>
    <row r="62" spans="1:8" x14ac:dyDescent="0.2">
      <c r="A62" t="s">
        <v>99</v>
      </c>
      <c r="B62">
        <v>253</v>
      </c>
      <c r="C62" t="s">
        <v>8</v>
      </c>
      <c r="D62" t="s">
        <v>9</v>
      </c>
      <c r="E62" t="s">
        <v>23</v>
      </c>
      <c r="F62" t="s">
        <v>24</v>
      </c>
      <c r="G62" t="s">
        <v>97</v>
      </c>
      <c r="H62" t="str">
        <f t="shared" si="0"/>
        <v>1/1/15/31</v>
      </c>
    </row>
    <row r="63" spans="1:8" x14ac:dyDescent="0.2">
      <c r="A63" t="s">
        <v>100</v>
      </c>
      <c r="B63">
        <v>255</v>
      </c>
      <c r="C63" t="s">
        <v>8</v>
      </c>
      <c r="D63" t="s">
        <v>9</v>
      </c>
      <c r="E63" t="s">
        <v>10</v>
      </c>
      <c r="F63" t="s">
        <v>11</v>
      </c>
      <c r="G63" t="s">
        <v>101</v>
      </c>
      <c r="H63" t="str">
        <f t="shared" si="0"/>
        <v>1/1/15/33</v>
      </c>
    </row>
    <row r="64" spans="1:8" x14ac:dyDescent="0.2">
      <c r="A64" t="s">
        <v>102</v>
      </c>
      <c r="B64">
        <v>254</v>
      </c>
      <c r="C64" t="s">
        <v>8</v>
      </c>
      <c r="D64" t="s">
        <v>9</v>
      </c>
      <c r="E64" t="s">
        <v>14</v>
      </c>
      <c r="F64" t="s">
        <v>15</v>
      </c>
      <c r="G64" t="s">
        <v>101</v>
      </c>
      <c r="H64" t="str">
        <f t="shared" si="0"/>
        <v>1/1/15/33</v>
      </c>
    </row>
    <row r="65" spans="1:8" x14ac:dyDescent="0.2">
      <c r="A65" t="s">
        <v>103</v>
      </c>
      <c r="B65">
        <v>253</v>
      </c>
      <c r="C65" t="s">
        <v>8</v>
      </c>
      <c r="D65" t="s">
        <v>9</v>
      </c>
      <c r="E65" t="s">
        <v>23</v>
      </c>
      <c r="F65" t="s">
        <v>24</v>
      </c>
      <c r="G65" t="s">
        <v>101</v>
      </c>
      <c r="H65" t="str">
        <f t="shared" si="0"/>
        <v>1/1/15/33</v>
      </c>
    </row>
    <row r="66" spans="1:8" x14ac:dyDescent="0.2">
      <c r="A66" t="s">
        <v>104</v>
      </c>
      <c r="B66">
        <v>254</v>
      </c>
      <c r="C66" t="s">
        <v>8</v>
      </c>
      <c r="D66" t="s">
        <v>9</v>
      </c>
      <c r="E66" t="s">
        <v>10</v>
      </c>
      <c r="F66" t="s">
        <v>11</v>
      </c>
      <c r="G66" t="s">
        <v>105</v>
      </c>
      <c r="H66" t="str">
        <f t="shared" si="0"/>
        <v>1/1/15/35</v>
      </c>
    </row>
    <row r="67" spans="1:8" x14ac:dyDescent="0.2">
      <c r="A67" t="s">
        <v>106</v>
      </c>
      <c r="B67">
        <v>255</v>
      </c>
      <c r="C67" t="s">
        <v>8</v>
      </c>
      <c r="D67" t="s">
        <v>9</v>
      </c>
      <c r="E67" t="s">
        <v>14</v>
      </c>
      <c r="F67" t="s">
        <v>15</v>
      </c>
      <c r="G67" t="s">
        <v>105</v>
      </c>
      <c r="H67" t="str">
        <f t="shared" ref="H67:H118" si="1">SUBSTITUTE(SUBSTITUTE(SUBSTITUTE(SUBSTITUTE(SUBSTITUTE(G67,"R1.S1.LT","1/1/"),".PON","/"),".ONT","/"),".C","/"),".P","/")</f>
        <v>1/1/15/35</v>
      </c>
    </row>
    <row r="68" spans="1:8" x14ac:dyDescent="0.2">
      <c r="A68" t="s">
        <v>107</v>
      </c>
      <c r="B68">
        <v>253</v>
      </c>
      <c r="C68" t="s">
        <v>8</v>
      </c>
      <c r="D68" t="s">
        <v>9</v>
      </c>
      <c r="E68" t="s">
        <v>17</v>
      </c>
      <c r="F68" t="s">
        <v>18</v>
      </c>
      <c r="G68" t="s">
        <v>105</v>
      </c>
      <c r="H68" t="str">
        <f t="shared" si="1"/>
        <v>1/1/15/35</v>
      </c>
    </row>
    <row r="69" spans="1:8" x14ac:dyDescent="0.2">
      <c r="A69" t="s">
        <v>108</v>
      </c>
      <c r="B69">
        <v>252</v>
      </c>
      <c r="C69" t="s">
        <v>8</v>
      </c>
      <c r="D69" t="s">
        <v>9</v>
      </c>
      <c r="E69" t="s">
        <v>23</v>
      </c>
      <c r="F69" t="s">
        <v>24</v>
      </c>
      <c r="G69" t="s">
        <v>105</v>
      </c>
      <c r="H69" t="str">
        <f t="shared" si="1"/>
        <v>1/1/15/35</v>
      </c>
    </row>
    <row r="70" spans="1:8" x14ac:dyDescent="0.2">
      <c r="A70" t="s">
        <v>109</v>
      </c>
      <c r="B70">
        <v>255</v>
      </c>
      <c r="C70" t="s">
        <v>8</v>
      </c>
      <c r="D70" t="s">
        <v>9</v>
      </c>
      <c r="E70" t="s">
        <v>10</v>
      </c>
      <c r="F70" t="s">
        <v>11</v>
      </c>
      <c r="G70" t="s">
        <v>110</v>
      </c>
      <c r="H70" t="str">
        <f t="shared" si="1"/>
        <v>1/1/16/1</v>
      </c>
    </row>
    <row r="71" spans="1:8" x14ac:dyDescent="0.2">
      <c r="A71" t="s">
        <v>111</v>
      </c>
      <c r="B71">
        <v>253</v>
      </c>
      <c r="C71" t="s">
        <v>8</v>
      </c>
      <c r="D71" t="s">
        <v>9</v>
      </c>
      <c r="E71" t="s">
        <v>14</v>
      </c>
      <c r="F71" t="s">
        <v>15</v>
      </c>
      <c r="G71" t="s">
        <v>110</v>
      </c>
      <c r="H71" t="str">
        <f t="shared" si="1"/>
        <v>1/1/16/1</v>
      </c>
    </row>
    <row r="72" spans="1:8" x14ac:dyDescent="0.2">
      <c r="A72" t="s">
        <v>112</v>
      </c>
      <c r="B72">
        <v>252</v>
      </c>
      <c r="C72" t="s">
        <v>8</v>
      </c>
      <c r="D72" t="s">
        <v>9</v>
      </c>
      <c r="E72" t="s">
        <v>17</v>
      </c>
      <c r="F72" t="s">
        <v>18</v>
      </c>
      <c r="G72" t="s">
        <v>110</v>
      </c>
      <c r="H72" t="str">
        <f t="shared" si="1"/>
        <v>1/1/16/1</v>
      </c>
    </row>
    <row r="73" spans="1:8" x14ac:dyDescent="0.2">
      <c r="A73" t="s">
        <v>113</v>
      </c>
      <c r="B73">
        <v>254</v>
      </c>
      <c r="C73" t="s">
        <v>8</v>
      </c>
      <c r="D73" t="s">
        <v>9</v>
      </c>
      <c r="E73" t="s">
        <v>20</v>
      </c>
      <c r="F73" t="s">
        <v>21</v>
      </c>
      <c r="G73" t="s">
        <v>110</v>
      </c>
      <c r="H73" t="str">
        <f t="shared" si="1"/>
        <v>1/1/16/1</v>
      </c>
    </row>
    <row r="74" spans="1:8" x14ac:dyDescent="0.2">
      <c r="A74" t="s">
        <v>114</v>
      </c>
      <c r="B74">
        <v>254</v>
      </c>
      <c r="C74" t="s">
        <v>8</v>
      </c>
      <c r="D74" t="s">
        <v>9</v>
      </c>
      <c r="E74" t="s">
        <v>10</v>
      </c>
      <c r="F74" t="s">
        <v>11</v>
      </c>
      <c r="G74" t="s">
        <v>115</v>
      </c>
      <c r="H74" t="str">
        <f t="shared" si="1"/>
        <v>1/1/16/5</v>
      </c>
    </row>
    <row r="75" spans="1:8" x14ac:dyDescent="0.2">
      <c r="A75" t="s">
        <v>116</v>
      </c>
      <c r="B75">
        <v>255</v>
      </c>
      <c r="C75" t="s">
        <v>8</v>
      </c>
      <c r="D75" t="s">
        <v>9</v>
      </c>
      <c r="E75" t="s">
        <v>14</v>
      </c>
      <c r="F75" t="s">
        <v>15</v>
      </c>
      <c r="G75" t="s">
        <v>115</v>
      </c>
      <c r="H75" t="str">
        <f t="shared" si="1"/>
        <v>1/1/16/5</v>
      </c>
    </row>
    <row r="76" spans="1:8" x14ac:dyDescent="0.2">
      <c r="A76" t="s">
        <v>117</v>
      </c>
      <c r="B76">
        <v>253</v>
      </c>
      <c r="C76" t="s">
        <v>8</v>
      </c>
      <c r="D76" t="s">
        <v>9</v>
      </c>
      <c r="E76" t="s">
        <v>23</v>
      </c>
      <c r="F76" t="s">
        <v>24</v>
      </c>
      <c r="G76" t="s">
        <v>115</v>
      </c>
      <c r="H76" t="str">
        <f t="shared" si="1"/>
        <v>1/1/16/5</v>
      </c>
    </row>
    <row r="77" spans="1:8" x14ac:dyDescent="0.2">
      <c r="A77" t="s">
        <v>118</v>
      </c>
      <c r="B77">
        <v>255</v>
      </c>
      <c r="C77" t="s">
        <v>8</v>
      </c>
      <c r="D77" t="s">
        <v>9</v>
      </c>
      <c r="E77" t="s">
        <v>10</v>
      </c>
      <c r="F77" t="s">
        <v>11</v>
      </c>
      <c r="G77" t="s">
        <v>119</v>
      </c>
      <c r="H77" t="str">
        <f t="shared" si="1"/>
        <v>1/1/16/11</v>
      </c>
    </row>
    <row r="78" spans="1:8" x14ac:dyDescent="0.2">
      <c r="A78" t="s">
        <v>120</v>
      </c>
      <c r="B78">
        <v>253</v>
      </c>
      <c r="C78" t="s">
        <v>8</v>
      </c>
      <c r="D78" t="s">
        <v>9</v>
      </c>
      <c r="E78" t="s">
        <v>14</v>
      </c>
      <c r="F78" t="s">
        <v>15</v>
      </c>
      <c r="G78" t="s">
        <v>119</v>
      </c>
      <c r="H78" t="str">
        <f t="shared" si="1"/>
        <v>1/1/16/11</v>
      </c>
    </row>
    <row r="79" spans="1:8" x14ac:dyDescent="0.2">
      <c r="A79" t="s">
        <v>121</v>
      </c>
      <c r="B79">
        <v>252</v>
      </c>
      <c r="C79" t="s">
        <v>8</v>
      </c>
      <c r="D79" t="s">
        <v>9</v>
      </c>
      <c r="E79" t="s">
        <v>17</v>
      </c>
      <c r="F79" t="s">
        <v>18</v>
      </c>
      <c r="G79" t="s">
        <v>119</v>
      </c>
      <c r="H79" t="str">
        <f t="shared" si="1"/>
        <v>1/1/16/11</v>
      </c>
    </row>
    <row r="80" spans="1:8" x14ac:dyDescent="0.2">
      <c r="A80" t="s">
        <v>122</v>
      </c>
      <c r="B80">
        <v>254</v>
      </c>
      <c r="C80" t="s">
        <v>8</v>
      </c>
      <c r="D80" t="s">
        <v>9</v>
      </c>
      <c r="E80" t="s">
        <v>20</v>
      </c>
      <c r="F80" t="s">
        <v>21</v>
      </c>
      <c r="G80" t="s">
        <v>119</v>
      </c>
      <c r="H80" t="str">
        <f t="shared" si="1"/>
        <v>1/1/16/11</v>
      </c>
    </row>
    <row r="81" spans="1:8" x14ac:dyDescent="0.2">
      <c r="A81" t="s">
        <v>123</v>
      </c>
      <c r="B81">
        <v>255</v>
      </c>
      <c r="C81" t="s">
        <v>8</v>
      </c>
      <c r="D81" t="s">
        <v>9</v>
      </c>
      <c r="E81" t="s">
        <v>10</v>
      </c>
      <c r="F81" t="s">
        <v>11</v>
      </c>
      <c r="G81" t="s">
        <v>124</v>
      </c>
      <c r="H81" t="str">
        <f t="shared" si="1"/>
        <v>1/1/16/13</v>
      </c>
    </row>
    <row r="82" spans="1:8" x14ac:dyDescent="0.2">
      <c r="A82" t="s">
        <v>125</v>
      </c>
      <c r="B82">
        <v>253</v>
      </c>
      <c r="C82" t="s">
        <v>8</v>
      </c>
      <c r="D82" t="s">
        <v>9</v>
      </c>
      <c r="E82" t="s">
        <v>14</v>
      </c>
      <c r="F82" t="s">
        <v>15</v>
      </c>
      <c r="G82" t="s">
        <v>124</v>
      </c>
      <c r="H82" t="str">
        <f t="shared" si="1"/>
        <v>1/1/16/13</v>
      </c>
    </row>
    <row r="83" spans="1:8" x14ac:dyDescent="0.2">
      <c r="A83" t="s">
        <v>126</v>
      </c>
      <c r="B83">
        <v>252</v>
      </c>
      <c r="C83" t="s">
        <v>8</v>
      </c>
      <c r="D83" t="s">
        <v>9</v>
      </c>
      <c r="E83" t="s">
        <v>17</v>
      </c>
      <c r="F83" t="s">
        <v>18</v>
      </c>
      <c r="G83" t="s">
        <v>124</v>
      </c>
      <c r="H83" t="str">
        <f t="shared" si="1"/>
        <v>1/1/16/13</v>
      </c>
    </row>
    <row r="84" spans="1:8" x14ac:dyDescent="0.2">
      <c r="A84" t="s">
        <v>127</v>
      </c>
      <c r="B84">
        <v>254</v>
      </c>
      <c r="C84" t="s">
        <v>8</v>
      </c>
      <c r="D84" t="s">
        <v>9</v>
      </c>
      <c r="E84" t="s">
        <v>20</v>
      </c>
      <c r="F84" t="s">
        <v>21</v>
      </c>
      <c r="G84" t="s">
        <v>124</v>
      </c>
      <c r="H84" t="str">
        <f t="shared" si="1"/>
        <v>1/1/16/13</v>
      </c>
    </row>
    <row r="85" spans="1:8" x14ac:dyDescent="0.2">
      <c r="A85" t="s">
        <v>128</v>
      </c>
      <c r="B85">
        <v>251</v>
      </c>
      <c r="C85" t="s">
        <v>8</v>
      </c>
      <c r="D85" t="s">
        <v>9</v>
      </c>
      <c r="E85" t="s">
        <v>23</v>
      </c>
      <c r="F85" t="s">
        <v>24</v>
      </c>
      <c r="G85" t="s">
        <v>124</v>
      </c>
      <c r="H85" t="str">
        <f t="shared" si="1"/>
        <v>1/1/16/13</v>
      </c>
    </row>
    <row r="86" spans="1:8" x14ac:dyDescent="0.2">
      <c r="A86" t="s">
        <v>129</v>
      </c>
      <c r="B86">
        <v>255</v>
      </c>
      <c r="C86" t="s">
        <v>8</v>
      </c>
      <c r="D86" t="s">
        <v>9</v>
      </c>
      <c r="E86" t="s">
        <v>10</v>
      </c>
      <c r="F86" t="s">
        <v>11</v>
      </c>
      <c r="G86" t="s">
        <v>130</v>
      </c>
      <c r="H86" t="str">
        <f t="shared" si="1"/>
        <v>1/1/16/15</v>
      </c>
    </row>
    <row r="87" spans="1:8" x14ac:dyDescent="0.2">
      <c r="A87" t="s">
        <v>131</v>
      </c>
      <c r="B87">
        <v>252</v>
      </c>
      <c r="C87" t="s">
        <v>8</v>
      </c>
      <c r="D87" t="s">
        <v>9</v>
      </c>
      <c r="E87" t="s">
        <v>14</v>
      </c>
      <c r="F87" t="s">
        <v>15</v>
      </c>
      <c r="G87" t="s">
        <v>130</v>
      </c>
      <c r="H87" t="str">
        <f t="shared" si="1"/>
        <v>1/1/16/15</v>
      </c>
    </row>
    <row r="88" spans="1:8" x14ac:dyDescent="0.2">
      <c r="A88" t="s">
        <v>132</v>
      </c>
      <c r="B88">
        <v>253</v>
      </c>
      <c r="C88" t="s">
        <v>8</v>
      </c>
      <c r="D88" t="s">
        <v>9</v>
      </c>
      <c r="E88" t="s">
        <v>17</v>
      </c>
      <c r="F88" t="s">
        <v>18</v>
      </c>
      <c r="G88" t="s">
        <v>130</v>
      </c>
      <c r="H88" t="str">
        <f t="shared" si="1"/>
        <v>1/1/16/15</v>
      </c>
    </row>
    <row r="89" spans="1:8" x14ac:dyDescent="0.2">
      <c r="A89" t="s">
        <v>133</v>
      </c>
      <c r="B89">
        <v>254</v>
      </c>
      <c r="C89" t="s">
        <v>8</v>
      </c>
      <c r="D89" t="s">
        <v>9</v>
      </c>
      <c r="E89" t="s">
        <v>20</v>
      </c>
      <c r="F89" t="s">
        <v>21</v>
      </c>
      <c r="G89" t="s">
        <v>130</v>
      </c>
      <c r="H89" t="str">
        <f t="shared" si="1"/>
        <v>1/1/16/15</v>
      </c>
    </row>
    <row r="90" spans="1:8" x14ac:dyDescent="0.2">
      <c r="A90" t="s">
        <v>134</v>
      </c>
      <c r="B90">
        <v>255</v>
      </c>
      <c r="C90" t="s">
        <v>8</v>
      </c>
      <c r="D90" t="s">
        <v>9</v>
      </c>
      <c r="E90" t="s">
        <v>10</v>
      </c>
      <c r="F90" t="s">
        <v>11</v>
      </c>
      <c r="G90" t="s">
        <v>135</v>
      </c>
      <c r="H90" t="str">
        <f t="shared" si="1"/>
        <v>1/1/16/17</v>
      </c>
    </row>
    <row r="91" spans="1:8" x14ac:dyDescent="0.2">
      <c r="A91" t="s">
        <v>136</v>
      </c>
      <c r="B91">
        <v>254</v>
      </c>
      <c r="C91" t="s">
        <v>8</v>
      </c>
      <c r="D91" t="s">
        <v>9</v>
      </c>
      <c r="E91" t="s">
        <v>14</v>
      </c>
      <c r="F91" t="s">
        <v>15</v>
      </c>
      <c r="G91" t="s">
        <v>135</v>
      </c>
      <c r="H91" t="str">
        <f t="shared" si="1"/>
        <v>1/1/16/17</v>
      </c>
    </row>
    <row r="92" spans="1:8" x14ac:dyDescent="0.2">
      <c r="A92" t="s">
        <v>137</v>
      </c>
      <c r="B92">
        <v>253</v>
      </c>
      <c r="C92" t="s">
        <v>8</v>
      </c>
      <c r="D92" t="s">
        <v>9</v>
      </c>
      <c r="E92" t="s">
        <v>17</v>
      </c>
      <c r="F92" t="s">
        <v>18</v>
      </c>
      <c r="G92" t="s">
        <v>135</v>
      </c>
      <c r="H92" t="str">
        <f t="shared" si="1"/>
        <v>1/1/16/17</v>
      </c>
    </row>
    <row r="93" spans="1:8" x14ac:dyDescent="0.2">
      <c r="A93" t="s">
        <v>138</v>
      </c>
      <c r="B93">
        <v>252</v>
      </c>
      <c r="C93" t="s">
        <v>8</v>
      </c>
      <c r="D93" t="s">
        <v>9</v>
      </c>
      <c r="E93" t="s">
        <v>20</v>
      </c>
      <c r="F93" t="s">
        <v>21</v>
      </c>
      <c r="G93" t="s">
        <v>135</v>
      </c>
      <c r="H93" t="str">
        <f t="shared" si="1"/>
        <v>1/1/16/17</v>
      </c>
    </row>
    <row r="94" spans="1:8" x14ac:dyDescent="0.2">
      <c r="A94" t="s">
        <v>139</v>
      </c>
      <c r="B94">
        <v>252</v>
      </c>
      <c r="C94" t="s">
        <v>8</v>
      </c>
      <c r="D94" t="s">
        <v>9</v>
      </c>
      <c r="E94" t="s">
        <v>10</v>
      </c>
      <c r="F94" t="s">
        <v>11</v>
      </c>
      <c r="G94" t="s">
        <v>140</v>
      </c>
      <c r="H94" t="str">
        <f t="shared" si="1"/>
        <v>1/1/16/19</v>
      </c>
    </row>
    <row r="95" spans="1:8" x14ac:dyDescent="0.2">
      <c r="A95" t="s">
        <v>141</v>
      </c>
      <c r="B95">
        <v>254</v>
      </c>
      <c r="C95" t="s">
        <v>8</v>
      </c>
      <c r="D95" t="s">
        <v>9</v>
      </c>
      <c r="E95" t="s">
        <v>14</v>
      </c>
      <c r="F95" t="s">
        <v>15</v>
      </c>
      <c r="G95" t="s">
        <v>140</v>
      </c>
      <c r="H95" t="str">
        <f t="shared" si="1"/>
        <v>1/1/16/19</v>
      </c>
    </row>
    <row r="96" spans="1:8" x14ac:dyDescent="0.2">
      <c r="A96" t="s">
        <v>142</v>
      </c>
      <c r="B96">
        <v>253</v>
      </c>
      <c r="C96" t="s">
        <v>8</v>
      </c>
      <c r="D96" t="s">
        <v>9</v>
      </c>
      <c r="E96" t="s">
        <v>17</v>
      </c>
      <c r="F96" t="s">
        <v>18</v>
      </c>
      <c r="G96" t="s">
        <v>140</v>
      </c>
      <c r="H96" t="str">
        <f t="shared" si="1"/>
        <v>1/1/16/19</v>
      </c>
    </row>
    <row r="97" spans="1:8" x14ac:dyDescent="0.2">
      <c r="A97" t="s">
        <v>143</v>
      </c>
      <c r="B97">
        <v>255</v>
      </c>
      <c r="C97" t="s">
        <v>8</v>
      </c>
      <c r="D97" t="s">
        <v>9</v>
      </c>
      <c r="E97" t="s">
        <v>20</v>
      </c>
      <c r="F97" t="s">
        <v>21</v>
      </c>
      <c r="G97" t="s">
        <v>140</v>
      </c>
      <c r="H97" t="str">
        <f t="shared" si="1"/>
        <v>1/1/16/19</v>
      </c>
    </row>
    <row r="98" spans="1:8" x14ac:dyDescent="0.2">
      <c r="A98" t="s">
        <v>144</v>
      </c>
      <c r="B98">
        <v>255</v>
      </c>
      <c r="C98" t="s">
        <v>8</v>
      </c>
      <c r="D98" t="s">
        <v>9</v>
      </c>
      <c r="E98" t="s">
        <v>10</v>
      </c>
      <c r="F98" t="s">
        <v>11</v>
      </c>
      <c r="G98" t="s">
        <v>145</v>
      </c>
      <c r="H98" t="str">
        <f t="shared" si="1"/>
        <v>1/1/16/21</v>
      </c>
    </row>
    <row r="99" spans="1:8" x14ac:dyDescent="0.2">
      <c r="A99" t="s">
        <v>146</v>
      </c>
      <c r="B99">
        <v>253</v>
      </c>
      <c r="C99" t="s">
        <v>8</v>
      </c>
      <c r="D99" t="s">
        <v>9</v>
      </c>
      <c r="E99" t="s">
        <v>14</v>
      </c>
      <c r="F99" t="s">
        <v>15</v>
      </c>
      <c r="G99" t="s">
        <v>145</v>
      </c>
      <c r="H99" t="str">
        <f t="shared" si="1"/>
        <v>1/1/16/21</v>
      </c>
    </row>
    <row r="100" spans="1:8" x14ac:dyDescent="0.2">
      <c r="A100" t="s">
        <v>147</v>
      </c>
      <c r="B100">
        <v>252</v>
      </c>
      <c r="C100" t="s">
        <v>8</v>
      </c>
      <c r="D100" t="s">
        <v>9</v>
      </c>
      <c r="E100" t="s">
        <v>17</v>
      </c>
      <c r="F100" t="s">
        <v>18</v>
      </c>
      <c r="G100" t="s">
        <v>145</v>
      </c>
      <c r="H100" t="str">
        <f t="shared" si="1"/>
        <v>1/1/16/21</v>
      </c>
    </row>
    <row r="101" spans="1:8" x14ac:dyDescent="0.2">
      <c r="A101" t="s">
        <v>148</v>
      </c>
      <c r="B101">
        <v>254</v>
      </c>
      <c r="C101" t="s">
        <v>8</v>
      </c>
      <c r="D101" t="s">
        <v>9</v>
      </c>
      <c r="E101" t="s">
        <v>20</v>
      </c>
      <c r="F101" t="s">
        <v>21</v>
      </c>
      <c r="G101" t="s">
        <v>145</v>
      </c>
      <c r="H101" t="str">
        <f t="shared" si="1"/>
        <v>1/1/16/21</v>
      </c>
    </row>
    <row r="102" spans="1:8" x14ac:dyDescent="0.2">
      <c r="A102" t="s">
        <v>149</v>
      </c>
      <c r="B102">
        <v>251</v>
      </c>
      <c r="C102" t="s">
        <v>8</v>
      </c>
      <c r="D102" t="s">
        <v>9</v>
      </c>
      <c r="E102" t="s">
        <v>54</v>
      </c>
      <c r="F102" t="s">
        <v>55</v>
      </c>
      <c r="G102" t="s">
        <v>145</v>
      </c>
      <c r="H102" t="str">
        <f t="shared" si="1"/>
        <v>1/1/16/21</v>
      </c>
    </row>
    <row r="103" spans="1:8" x14ac:dyDescent="0.2">
      <c r="A103" t="s">
        <v>150</v>
      </c>
      <c r="B103">
        <v>250</v>
      </c>
      <c r="C103" t="s">
        <v>8</v>
      </c>
      <c r="D103" t="s">
        <v>9</v>
      </c>
      <c r="E103" t="s">
        <v>46</v>
      </c>
      <c r="F103" t="s">
        <v>47</v>
      </c>
      <c r="G103" t="s">
        <v>145</v>
      </c>
      <c r="H103" t="str">
        <f t="shared" si="1"/>
        <v>1/1/16/21</v>
      </c>
    </row>
    <row r="104" spans="1:8" x14ac:dyDescent="0.2">
      <c r="A104" t="s">
        <v>151</v>
      </c>
      <c r="B104">
        <v>251</v>
      </c>
      <c r="C104" t="s">
        <v>8</v>
      </c>
      <c r="D104" t="s">
        <v>9</v>
      </c>
      <c r="E104" t="s">
        <v>54</v>
      </c>
      <c r="F104" t="s">
        <v>55</v>
      </c>
      <c r="G104" t="s">
        <v>152</v>
      </c>
      <c r="H104" t="str">
        <f t="shared" si="1"/>
        <v>1/1/16/23</v>
      </c>
    </row>
    <row r="105" spans="1:8" x14ac:dyDescent="0.2">
      <c r="A105" t="s">
        <v>153</v>
      </c>
      <c r="B105">
        <v>250</v>
      </c>
      <c r="C105" t="s">
        <v>8</v>
      </c>
      <c r="D105" t="s">
        <v>9</v>
      </c>
      <c r="E105" t="s">
        <v>46</v>
      </c>
      <c r="F105" t="s">
        <v>47</v>
      </c>
      <c r="G105" t="s">
        <v>152</v>
      </c>
      <c r="H105" t="str">
        <f t="shared" si="1"/>
        <v>1/1/16/23</v>
      </c>
    </row>
    <row r="106" spans="1:8" x14ac:dyDescent="0.2">
      <c r="A106" t="s">
        <v>154</v>
      </c>
      <c r="B106">
        <v>255</v>
      </c>
      <c r="C106" t="s">
        <v>8</v>
      </c>
      <c r="D106" t="s">
        <v>9</v>
      </c>
      <c r="E106" t="s">
        <v>10</v>
      </c>
      <c r="F106" t="s">
        <v>11</v>
      </c>
      <c r="G106" t="s">
        <v>155</v>
      </c>
      <c r="H106" t="str">
        <f t="shared" si="1"/>
        <v>1/1/16/25</v>
      </c>
    </row>
    <row r="107" spans="1:8" x14ac:dyDescent="0.2">
      <c r="A107" t="s">
        <v>156</v>
      </c>
      <c r="B107">
        <v>254</v>
      </c>
      <c r="C107" t="s">
        <v>8</v>
      </c>
      <c r="D107" t="s">
        <v>9</v>
      </c>
      <c r="E107" t="s">
        <v>14</v>
      </c>
      <c r="F107" t="s">
        <v>15</v>
      </c>
      <c r="G107" t="s">
        <v>155</v>
      </c>
      <c r="H107" t="str">
        <f t="shared" si="1"/>
        <v>1/1/16/25</v>
      </c>
    </row>
    <row r="108" spans="1:8" x14ac:dyDescent="0.2">
      <c r="A108" t="s">
        <v>157</v>
      </c>
      <c r="B108">
        <v>252</v>
      </c>
      <c r="C108" t="s">
        <v>8</v>
      </c>
      <c r="D108" t="s">
        <v>9</v>
      </c>
      <c r="E108" t="s">
        <v>17</v>
      </c>
      <c r="F108" t="s">
        <v>18</v>
      </c>
      <c r="G108" t="s">
        <v>155</v>
      </c>
      <c r="H108" t="str">
        <f t="shared" si="1"/>
        <v>1/1/16/25</v>
      </c>
    </row>
    <row r="109" spans="1:8" x14ac:dyDescent="0.2">
      <c r="A109" t="s">
        <v>158</v>
      </c>
      <c r="B109">
        <v>253</v>
      </c>
      <c r="C109" t="s">
        <v>8</v>
      </c>
      <c r="D109" t="s">
        <v>9</v>
      </c>
      <c r="E109" t="s">
        <v>20</v>
      </c>
      <c r="F109" t="s">
        <v>21</v>
      </c>
      <c r="G109" t="s">
        <v>155</v>
      </c>
      <c r="H109" t="str">
        <f t="shared" si="1"/>
        <v>1/1/16/25</v>
      </c>
    </row>
    <row r="110" spans="1:8" x14ac:dyDescent="0.2">
      <c r="A110" t="s">
        <v>159</v>
      </c>
      <c r="B110">
        <v>251</v>
      </c>
      <c r="C110" t="s">
        <v>8</v>
      </c>
      <c r="D110" t="s">
        <v>9</v>
      </c>
      <c r="E110" t="s">
        <v>54</v>
      </c>
      <c r="F110" t="s">
        <v>55</v>
      </c>
      <c r="G110" t="s">
        <v>155</v>
      </c>
      <c r="H110" t="str">
        <f t="shared" si="1"/>
        <v>1/1/16/25</v>
      </c>
    </row>
    <row r="111" spans="1:8" x14ac:dyDescent="0.2">
      <c r="A111" t="s">
        <v>160</v>
      </c>
      <c r="B111">
        <v>250</v>
      </c>
      <c r="C111" t="s">
        <v>8</v>
      </c>
      <c r="D111" t="s">
        <v>9</v>
      </c>
      <c r="E111" t="s">
        <v>46</v>
      </c>
      <c r="F111" t="s">
        <v>47</v>
      </c>
      <c r="G111" t="s">
        <v>155</v>
      </c>
      <c r="H111" t="str">
        <f t="shared" si="1"/>
        <v>1/1/16/25</v>
      </c>
    </row>
    <row r="112" spans="1:8" x14ac:dyDescent="0.2">
      <c r="A112" t="s">
        <v>161</v>
      </c>
      <c r="B112">
        <v>254</v>
      </c>
      <c r="C112" t="s">
        <v>8</v>
      </c>
      <c r="D112" t="s">
        <v>9</v>
      </c>
      <c r="E112" t="s">
        <v>10</v>
      </c>
      <c r="F112" t="s">
        <v>11</v>
      </c>
      <c r="G112" t="s">
        <v>162</v>
      </c>
      <c r="H112" t="str">
        <f t="shared" si="1"/>
        <v>1/1/16/27</v>
      </c>
    </row>
    <row r="113" spans="1:8" x14ac:dyDescent="0.2">
      <c r="A113" t="s">
        <v>163</v>
      </c>
      <c r="B113">
        <v>255</v>
      </c>
      <c r="C113" t="s">
        <v>8</v>
      </c>
      <c r="D113" t="s">
        <v>9</v>
      </c>
      <c r="E113" t="s">
        <v>23</v>
      </c>
      <c r="F113" t="s">
        <v>24</v>
      </c>
      <c r="G113" t="s">
        <v>162</v>
      </c>
      <c r="H113" t="str">
        <f t="shared" si="1"/>
        <v>1/1/16/27</v>
      </c>
    </row>
    <row r="114" spans="1:8" x14ac:dyDescent="0.2">
      <c r="A114" t="s">
        <v>164</v>
      </c>
      <c r="B114">
        <v>253</v>
      </c>
      <c r="C114" t="s">
        <v>8</v>
      </c>
      <c r="D114" t="s">
        <v>9</v>
      </c>
      <c r="E114" t="s">
        <v>46</v>
      </c>
      <c r="F114" t="s">
        <v>47</v>
      </c>
      <c r="G114" t="s">
        <v>162</v>
      </c>
      <c r="H114" t="str">
        <f t="shared" si="1"/>
        <v>1/1/16/27</v>
      </c>
    </row>
    <row r="115" spans="1:8" x14ac:dyDescent="0.2">
      <c r="A115" t="s">
        <v>165</v>
      </c>
      <c r="B115">
        <v>255</v>
      </c>
      <c r="C115" t="s">
        <v>8</v>
      </c>
      <c r="D115" t="s">
        <v>9</v>
      </c>
      <c r="E115" t="s">
        <v>10</v>
      </c>
      <c r="F115" t="s">
        <v>11</v>
      </c>
      <c r="G115" t="s">
        <v>166</v>
      </c>
      <c r="H115" t="str">
        <f t="shared" si="1"/>
        <v>1/1/16/29</v>
      </c>
    </row>
    <row r="116" spans="1:8" x14ac:dyDescent="0.2">
      <c r="A116" t="s">
        <v>167</v>
      </c>
      <c r="B116">
        <v>254</v>
      </c>
      <c r="C116" t="s">
        <v>8</v>
      </c>
      <c r="D116" t="s">
        <v>9</v>
      </c>
      <c r="E116" t="s">
        <v>14</v>
      </c>
      <c r="F116" t="s">
        <v>15</v>
      </c>
      <c r="G116" t="s">
        <v>166</v>
      </c>
      <c r="H116" t="str">
        <f t="shared" si="1"/>
        <v>1/1/16/29</v>
      </c>
    </row>
    <row r="117" spans="1:8" x14ac:dyDescent="0.2">
      <c r="A117" t="s">
        <v>168</v>
      </c>
      <c r="H117" t="str">
        <f t="shared" si="1"/>
        <v/>
      </c>
    </row>
    <row r="118" spans="1:8" x14ac:dyDescent="0.2">
      <c r="A118" t="s">
        <v>169</v>
      </c>
      <c r="H118" t="str">
        <f t="shared" si="1"/>
        <v/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>
      <selection activeCell="C2" sqref="C2"/>
    </sheetView>
  </sheetViews>
  <sheetFormatPr baseColWidth="10" defaultRowHeight="16" x14ac:dyDescent="0.2"/>
  <cols>
    <col min="1" max="1" width="10.83203125" style="3"/>
    <col min="2" max="2" width="53.6640625" bestFit="1" customWidth="1"/>
    <col min="3" max="3" width="58.6640625" bestFit="1" customWidth="1"/>
    <col min="4" max="4" width="52" bestFit="1" customWidth="1"/>
  </cols>
  <sheetData>
    <row r="1" spans="1:4" x14ac:dyDescent="0.2">
      <c r="B1" t="s">
        <v>373</v>
      </c>
      <c r="C1" t="s">
        <v>371</v>
      </c>
      <c r="D1" t="s">
        <v>372</v>
      </c>
    </row>
    <row r="2" spans="1:4" x14ac:dyDescent="0.2">
      <c r="A2" s="3" t="s">
        <v>170</v>
      </c>
      <c r="B2" t="str">
        <f>CONCATENATE("info configure bridge port ",A2," flat | match exact:vlan-id")</f>
        <v>info configure bridge port 1/1/15/1 flat | match exact:vlan-id</v>
      </c>
      <c r="C2" t="str">
        <f>CONCATENATE("info configure qos interface ",A2," flat | match exact:bandwidth")</f>
        <v>info configure qos interface 1/1/15/1 flat | match exact:bandwidth</v>
      </c>
      <c r="D2" t="str">
        <f>CONCATENATE("info configure ethernet line ",A2," flat | match exact:uni")</f>
        <v>info configure ethernet line 1/1/15/1 flat | match exact:uni</v>
      </c>
    </row>
    <row r="3" spans="1:4" x14ac:dyDescent="0.2">
      <c r="A3" s="3" t="s">
        <v>171</v>
      </c>
      <c r="B3" t="str">
        <f t="shared" ref="B3:B31" si="0">CONCATENATE("info configure bridge port ",A3," flat | match exact:vlan-id")</f>
        <v>info configure bridge port 1/1/15/3 flat | match exact:vlan-id</v>
      </c>
      <c r="C3" t="str">
        <f t="shared" ref="C3:C31" si="1">CONCATENATE("info configure qos interface ",A3," flat | match exact:bandwidth")</f>
        <v>info configure qos interface 1/1/15/3 flat | match exact:bandwidth</v>
      </c>
      <c r="D3" t="str">
        <f t="shared" ref="D3:D31" si="2">CONCATENATE("info configure ethernet line ",A3," flat | match exact:uni")</f>
        <v>info configure ethernet line 1/1/15/3 flat | match exact:uni</v>
      </c>
    </row>
    <row r="4" spans="1:4" x14ac:dyDescent="0.2">
      <c r="A4" s="3" t="s">
        <v>172</v>
      </c>
      <c r="B4" t="str">
        <f t="shared" si="0"/>
        <v>info configure bridge port 1/1/15/5 flat | match exact:vlan-id</v>
      </c>
      <c r="C4" t="str">
        <f t="shared" si="1"/>
        <v>info configure qos interface 1/1/15/5 flat | match exact:bandwidth</v>
      </c>
      <c r="D4" t="str">
        <f t="shared" si="2"/>
        <v>info configure ethernet line 1/1/15/5 flat | match exact:uni</v>
      </c>
    </row>
    <row r="5" spans="1:4" x14ac:dyDescent="0.2">
      <c r="A5" s="3" t="s">
        <v>173</v>
      </c>
      <c r="B5" t="str">
        <f t="shared" si="0"/>
        <v>info configure bridge port 1/1/15/7 flat | match exact:vlan-id</v>
      </c>
      <c r="C5" t="str">
        <f t="shared" si="1"/>
        <v>info configure qos interface 1/1/15/7 flat | match exact:bandwidth</v>
      </c>
      <c r="D5" t="str">
        <f t="shared" si="2"/>
        <v>info configure ethernet line 1/1/15/7 flat | match exact:uni</v>
      </c>
    </row>
    <row r="6" spans="1:4" x14ac:dyDescent="0.2">
      <c r="A6" s="3" t="s">
        <v>174</v>
      </c>
      <c r="B6" t="str">
        <f t="shared" si="0"/>
        <v>info configure bridge port 1/1/15/9 flat | match exact:vlan-id</v>
      </c>
      <c r="C6" t="str">
        <f t="shared" si="1"/>
        <v>info configure qos interface 1/1/15/9 flat | match exact:bandwidth</v>
      </c>
      <c r="D6" t="str">
        <f t="shared" si="2"/>
        <v>info configure ethernet line 1/1/15/9 flat | match exact:uni</v>
      </c>
    </row>
    <row r="7" spans="1:4" x14ac:dyDescent="0.2">
      <c r="A7" s="3" t="s">
        <v>175</v>
      </c>
      <c r="B7" t="str">
        <f t="shared" si="0"/>
        <v>info configure bridge port 1/1/15/11 flat | match exact:vlan-id</v>
      </c>
      <c r="C7" t="str">
        <f t="shared" si="1"/>
        <v>info configure qos interface 1/1/15/11 flat | match exact:bandwidth</v>
      </c>
      <c r="D7" t="str">
        <f t="shared" si="2"/>
        <v>info configure ethernet line 1/1/15/11 flat | match exact:uni</v>
      </c>
    </row>
    <row r="8" spans="1:4" x14ac:dyDescent="0.2">
      <c r="A8" s="3" t="s">
        <v>176</v>
      </c>
      <c r="B8" t="str">
        <f t="shared" si="0"/>
        <v>info configure bridge port 1/1/15/13 flat | match exact:vlan-id</v>
      </c>
      <c r="C8" t="str">
        <f t="shared" si="1"/>
        <v>info configure qos interface 1/1/15/13 flat | match exact:bandwidth</v>
      </c>
      <c r="D8" t="str">
        <f t="shared" si="2"/>
        <v>info configure ethernet line 1/1/15/13 flat | match exact:uni</v>
      </c>
    </row>
    <row r="9" spans="1:4" x14ac:dyDescent="0.2">
      <c r="A9" s="3" t="s">
        <v>177</v>
      </c>
      <c r="B9" t="str">
        <f t="shared" si="0"/>
        <v>info configure bridge port 1/1/15/15 flat | match exact:vlan-id</v>
      </c>
      <c r="C9" t="str">
        <f t="shared" si="1"/>
        <v>info configure qos interface 1/1/15/15 flat | match exact:bandwidth</v>
      </c>
      <c r="D9" t="str">
        <f t="shared" si="2"/>
        <v>info configure ethernet line 1/1/15/15 flat | match exact:uni</v>
      </c>
    </row>
    <row r="10" spans="1:4" x14ac:dyDescent="0.2">
      <c r="A10" s="3" t="s">
        <v>178</v>
      </c>
      <c r="B10" t="str">
        <f t="shared" si="0"/>
        <v>info configure bridge port 1/1/15/17 flat | match exact:vlan-id</v>
      </c>
      <c r="C10" t="str">
        <f t="shared" si="1"/>
        <v>info configure qos interface 1/1/15/17 flat | match exact:bandwidth</v>
      </c>
      <c r="D10" t="str">
        <f t="shared" si="2"/>
        <v>info configure ethernet line 1/1/15/17 flat | match exact:uni</v>
      </c>
    </row>
    <row r="11" spans="1:4" x14ac:dyDescent="0.2">
      <c r="A11" s="3" t="s">
        <v>179</v>
      </c>
      <c r="B11" t="str">
        <f t="shared" si="0"/>
        <v>info configure bridge port 1/1/15/19 flat | match exact:vlan-id</v>
      </c>
      <c r="C11" t="str">
        <f t="shared" si="1"/>
        <v>info configure qos interface 1/1/15/19 flat | match exact:bandwidth</v>
      </c>
      <c r="D11" t="str">
        <f t="shared" si="2"/>
        <v>info configure ethernet line 1/1/15/19 flat | match exact:uni</v>
      </c>
    </row>
    <row r="12" spans="1:4" x14ac:dyDescent="0.2">
      <c r="A12" s="3" t="s">
        <v>180</v>
      </c>
      <c r="B12" t="str">
        <f t="shared" si="0"/>
        <v>info configure bridge port 1/1/15/21 flat | match exact:vlan-id</v>
      </c>
      <c r="C12" t="str">
        <f t="shared" si="1"/>
        <v>info configure qos interface 1/1/15/21 flat | match exact:bandwidth</v>
      </c>
      <c r="D12" t="str">
        <f t="shared" si="2"/>
        <v>info configure ethernet line 1/1/15/21 flat | match exact:uni</v>
      </c>
    </row>
    <row r="13" spans="1:4" x14ac:dyDescent="0.2">
      <c r="A13" s="3" t="s">
        <v>181</v>
      </c>
      <c r="B13" t="str">
        <f t="shared" si="0"/>
        <v>info configure bridge port 1/1/15/23 flat | match exact:vlan-id</v>
      </c>
      <c r="C13" t="str">
        <f t="shared" si="1"/>
        <v>info configure qos interface 1/1/15/23 flat | match exact:bandwidth</v>
      </c>
      <c r="D13" t="str">
        <f t="shared" si="2"/>
        <v>info configure ethernet line 1/1/15/23 flat | match exact:uni</v>
      </c>
    </row>
    <row r="14" spans="1:4" x14ac:dyDescent="0.2">
      <c r="A14" s="3" t="s">
        <v>182</v>
      </c>
      <c r="B14" t="str">
        <f t="shared" si="0"/>
        <v>info configure bridge port 1/1/15/25 flat | match exact:vlan-id</v>
      </c>
      <c r="C14" t="str">
        <f t="shared" si="1"/>
        <v>info configure qos interface 1/1/15/25 flat | match exact:bandwidth</v>
      </c>
      <c r="D14" t="str">
        <f t="shared" si="2"/>
        <v>info configure ethernet line 1/1/15/25 flat | match exact:uni</v>
      </c>
    </row>
    <row r="15" spans="1:4" x14ac:dyDescent="0.2">
      <c r="A15" s="3" t="s">
        <v>183</v>
      </c>
      <c r="B15" t="str">
        <f t="shared" si="0"/>
        <v>info configure bridge port 1/1/15/27 flat | match exact:vlan-id</v>
      </c>
      <c r="C15" t="str">
        <f t="shared" si="1"/>
        <v>info configure qos interface 1/1/15/27 flat | match exact:bandwidth</v>
      </c>
      <c r="D15" t="str">
        <f t="shared" si="2"/>
        <v>info configure ethernet line 1/1/15/27 flat | match exact:uni</v>
      </c>
    </row>
    <row r="16" spans="1:4" x14ac:dyDescent="0.2">
      <c r="A16" s="3" t="s">
        <v>184</v>
      </c>
      <c r="B16" t="str">
        <f t="shared" si="0"/>
        <v>info configure bridge port 1/1/15/29 flat | match exact:vlan-id</v>
      </c>
      <c r="C16" t="str">
        <f t="shared" si="1"/>
        <v>info configure qos interface 1/1/15/29 flat | match exact:bandwidth</v>
      </c>
      <c r="D16" t="str">
        <f t="shared" si="2"/>
        <v>info configure ethernet line 1/1/15/29 flat | match exact:uni</v>
      </c>
    </row>
    <row r="17" spans="1:4" x14ac:dyDescent="0.2">
      <c r="A17" s="3" t="s">
        <v>185</v>
      </c>
      <c r="B17" t="str">
        <f t="shared" si="0"/>
        <v>info configure bridge port 1/1/15/31 flat | match exact:vlan-id</v>
      </c>
      <c r="C17" t="str">
        <f t="shared" si="1"/>
        <v>info configure qos interface 1/1/15/31 flat | match exact:bandwidth</v>
      </c>
      <c r="D17" t="str">
        <f t="shared" si="2"/>
        <v>info configure ethernet line 1/1/15/31 flat | match exact:uni</v>
      </c>
    </row>
    <row r="18" spans="1:4" x14ac:dyDescent="0.2">
      <c r="A18" s="3" t="s">
        <v>186</v>
      </c>
      <c r="B18" t="str">
        <f t="shared" si="0"/>
        <v>info configure bridge port 1/1/15/33 flat | match exact:vlan-id</v>
      </c>
      <c r="C18" t="str">
        <f t="shared" si="1"/>
        <v>info configure qos interface 1/1/15/33 flat | match exact:bandwidth</v>
      </c>
      <c r="D18" t="str">
        <f t="shared" si="2"/>
        <v>info configure ethernet line 1/1/15/33 flat | match exact:uni</v>
      </c>
    </row>
    <row r="19" spans="1:4" x14ac:dyDescent="0.2">
      <c r="A19" s="3" t="s">
        <v>187</v>
      </c>
      <c r="B19" t="str">
        <f t="shared" si="0"/>
        <v>info configure bridge port 1/1/15/35 flat | match exact:vlan-id</v>
      </c>
      <c r="C19" t="str">
        <f t="shared" si="1"/>
        <v>info configure qos interface 1/1/15/35 flat | match exact:bandwidth</v>
      </c>
      <c r="D19" t="str">
        <f t="shared" si="2"/>
        <v>info configure ethernet line 1/1/15/35 flat | match exact:uni</v>
      </c>
    </row>
    <row r="20" spans="1:4" x14ac:dyDescent="0.2">
      <c r="A20" s="3" t="s">
        <v>188</v>
      </c>
      <c r="B20" t="str">
        <f t="shared" si="0"/>
        <v>info configure bridge port 1/1/16/1 flat | match exact:vlan-id</v>
      </c>
      <c r="C20" t="str">
        <f t="shared" si="1"/>
        <v>info configure qos interface 1/1/16/1 flat | match exact:bandwidth</v>
      </c>
      <c r="D20" t="str">
        <f t="shared" si="2"/>
        <v>info configure ethernet line 1/1/16/1 flat | match exact:uni</v>
      </c>
    </row>
    <row r="21" spans="1:4" x14ac:dyDescent="0.2">
      <c r="A21" s="3" t="s">
        <v>189</v>
      </c>
      <c r="B21" t="str">
        <f t="shared" si="0"/>
        <v>info configure bridge port 1/1/16/5 flat | match exact:vlan-id</v>
      </c>
      <c r="C21" t="str">
        <f t="shared" si="1"/>
        <v>info configure qos interface 1/1/16/5 flat | match exact:bandwidth</v>
      </c>
      <c r="D21" t="str">
        <f t="shared" si="2"/>
        <v>info configure ethernet line 1/1/16/5 flat | match exact:uni</v>
      </c>
    </row>
    <row r="22" spans="1:4" x14ac:dyDescent="0.2">
      <c r="A22" s="3" t="s">
        <v>190</v>
      </c>
      <c r="B22" t="str">
        <f t="shared" si="0"/>
        <v>info configure bridge port 1/1/16/11 flat | match exact:vlan-id</v>
      </c>
      <c r="C22" t="str">
        <f t="shared" si="1"/>
        <v>info configure qos interface 1/1/16/11 flat | match exact:bandwidth</v>
      </c>
      <c r="D22" t="str">
        <f t="shared" si="2"/>
        <v>info configure ethernet line 1/1/16/11 flat | match exact:uni</v>
      </c>
    </row>
    <row r="23" spans="1:4" x14ac:dyDescent="0.2">
      <c r="A23" s="3" t="s">
        <v>191</v>
      </c>
      <c r="B23" t="str">
        <f t="shared" si="0"/>
        <v>info configure bridge port 1/1/16/13 flat | match exact:vlan-id</v>
      </c>
      <c r="C23" t="str">
        <f t="shared" si="1"/>
        <v>info configure qos interface 1/1/16/13 flat | match exact:bandwidth</v>
      </c>
      <c r="D23" t="str">
        <f t="shared" si="2"/>
        <v>info configure ethernet line 1/1/16/13 flat | match exact:uni</v>
      </c>
    </row>
    <row r="24" spans="1:4" x14ac:dyDescent="0.2">
      <c r="A24" s="3" t="s">
        <v>192</v>
      </c>
      <c r="B24" t="str">
        <f t="shared" si="0"/>
        <v>info configure bridge port 1/1/16/15 flat | match exact:vlan-id</v>
      </c>
      <c r="C24" t="str">
        <f t="shared" si="1"/>
        <v>info configure qos interface 1/1/16/15 flat | match exact:bandwidth</v>
      </c>
      <c r="D24" t="str">
        <f t="shared" si="2"/>
        <v>info configure ethernet line 1/1/16/15 flat | match exact:uni</v>
      </c>
    </row>
    <row r="25" spans="1:4" x14ac:dyDescent="0.2">
      <c r="A25" s="3" t="s">
        <v>193</v>
      </c>
      <c r="B25" t="str">
        <f t="shared" si="0"/>
        <v>info configure bridge port 1/1/16/17 flat | match exact:vlan-id</v>
      </c>
      <c r="C25" t="str">
        <f t="shared" si="1"/>
        <v>info configure qos interface 1/1/16/17 flat | match exact:bandwidth</v>
      </c>
      <c r="D25" t="str">
        <f t="shared" si="2"/>
        <v>info configure ethernet line 1/1/16/17 flat | match exact:uni</v>
      </c>
    </row>
    <row r="26" spans="1:4" x14ac:dyDescent="0.2">
      <c r="A26" s="3" t="s">
        <v>194</v>
      </c>
      <c r="B26" t="str">
        <f t="shared" si="0"/>
        <v>info configure bridge port 1/1/16/19 flat | match exact:vlan-id</v>
      </c>
      <c r="C26" t="str">
        <f t="shared" si="1"/>
        <v>info configure qos interface 1/1/16/19 flat | match exact:bandwidth</v>
      </c>
      <c r="D26" t="str">
        <f t="shared" si="2"/>
        <v>info configure ethernet line 1/1/16/19 flat | match exact:uni</v>
      </c>
    </row>
    <row r="27" spans="1:4" x14ac:dyDescent="0.2">
      <c r="A27" s="3" t="s">
        <v>195</v>
      </c>
      <c r="B27" t="str">
        <f t="shared" si="0"/>
        <v>info configure bridge port 1/1/16/21 flat | match exact:vlan-id</v>
      </c>
      <c r="C27" t="str">
        <f t="shared" si="1"/>
        <v>info configure qos interface 1/1/16/21 flat | match exact:bandwidth</v>
      </c>
      <c r="D27" t="str">
        <f t="shared" si="2"/>
        <v>info configure ethernet line 1/1/16/21 flat | match exact:uni</v>
      </c>
    </row>
    <row r="28" spans="1:4" x14ac:dyDescent="0.2">
      <c r="A28" s="3" t="s">
        <v>196</v>
      </c>
      <c r="B28" t="str">
        <f t="shared" si="0"/>
        <v>info configure bridge port 1/1/16/23 flat | match exact:vlan-id</v>
      </c>
      <c r="C28" t="str">
        <f t="shared" si="1"/>
        <v>info configure qos interface 1/1/16/23 flat | match exact:bandwidth</v>
      </c>
      <c r="D28" t="str">
        <f t="shared" si="2"/>
        <v>info configure ethernet line 1/1/16/23 flat | match exact:uni</v>
      </c>
    </row>
    <row r="29" spans="1:4" x14ac:dyDescent="0.2">
      <c r="A29" s="3" t="s">
        <v>197</v>
      </c>
      <c r="B29" t="str">
        <f t="shared" si="0"/>
        <v>info configure bridge port 1/1/16/25 flat | match exact:vlan-id</v>
      </c>
      <c r="C29" t="str">
        <f t="shared" si="1"/>
        <v>info configure qos interface 1/1/16/25 flat | match exact:bandwidth</v>
      </c>
      <c r="D29" t="str">
        <f t="shared" si="2"/>
        <v>info configure ethernet line 1/1/16/25 flat | match exact:uni</v>
      </c>
    </row>
    <row r="30" spans="1:4" x14ac:dyDescent="0.2">
      <c r="A30" s="3" t="s">
        <v>198</v>
      </c>
      <c r="B30" t="str">
        <f t="shared" si="0"/>
        <v>info configure bridge port 1/1/16/27 flat | match exact:vlan-id</v>
      </c>
      <c r="C30" t="str">
        <f t="shared" si="1"/>
        <v>info configure qos interface 1/1/16/27 flat | match exact:bandwidth</v>
      </c>
      <c r="D30" t="str">
        <f t="shared" si="2"/>
        <v>info configure ethernet line 1/1/16/27 flat | match exact:uni</v>
      </c>
    </row>
    <row r="31" spans="1:4" x14ac:dyDescent="0.2">
      <c r="A31" s="3" t="s">
        <v>199</v>
      </c>
      <c r="B31" t="str">
        <f t="shared" si="0"/>
        <v>info configure bridge port 1/1/16/29 flat | match exact:vlan-id</v>
      </c>
      <c r="C31" t="str">
        <f t="shared" si="1"/>
        <v>info configure qos interface 1/1/16/29 flat | match exact:bandwidth</v>
      </c>
      <c r="D31" t="str">
        <f t="shared" si="2"/>
        <v>info configure ethernet line 1/1/16/29 flat | match exact:uni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74"/>
  <sheetViews>
    <sheetView workbookViewId="0">
      <selection activeCell="B2" sqref="B2"/>
    </sheetView>
  </sheetViews>
  <sheetFormatPr baseColWidth="10" defaultRowHeight="16" x14ac:dyDescent="0.2"/>
  <cols>
    <col min="1" max="2" width="84.5" bestFit="1" customWidth="1"/>
  </cols>
  <sheetData>
    <row r="2" spans="1:2" x14ac:dyDescent="0.2">
      <c r="A2" t="s">
        <v>200</v>
      </c>
      <c r="B2" t="str">
        <f>IFERROR(IF(LEFT(A2,4)="conf",A2,""),"")</f>
        <v>configure bridge port 1/1/15/1 vlan-id 900 tag single-tagged</v>
      </c>
    </row>
    <row r="3" spans="1:2" x14ac:dyDescent="0.2">
      <c r="A3" t="s">
        <v>201</v>
      </c>
      <c r="B3" t="str">
        <f t="shared" ref="B3:B66" si="0">IFERROR(IF(LEFT(A3,4)="conf",A3,""),"")</f>
        <v>configure bridge port 1/1/15/1 vlan-id 950 tag single-tagged</v>
      </c>
    </row>
    <row r="4" spans="1:2" x14ac:dyDescent="0.2">
      <c r="A4" t="s">
        <v>202</v>
      </c>
      <c r="B4" t="str">
        <f t="shared" si="0"/>
        <v>configure bridge port 1/1/15/1 vlan-id 951 tag single-tagged</v>
      </c>
    </row>
    <row r="5" spans="1:2" x14ac:dyDescent="0.2">
      <c r="A5" t="s">
        <v>203</v>
      </c>
      <c r="B5" t="str">
        <f t="shared" si="0"/>
        <v>configure bridge port 1/1/15/1 vlan-id 970 tag single-tagged</v>
      </c>
    </row>
    <row r="6" spans="1:2" x14ac:dyDescent="0.2">
      <c r="A6" t="s">
        <v>204</v>
      </c>
      <c r="B6" t="str">
        <f t="shared" si="0"/>
        <v>configure bridge port 1/1/15/1 vlan-id 989 tag single-tagged</v>
      </c>
    </row>
    <row r="7" spans="1:2" x14ac:dyDescent="0.2">
      <c r="A7" t="s">
        <v>315</v>
      </c>
      <c r="B7" t="str">
        <f t="shared" si="0"/>
        <v/>
      </c>
    </row>
    <row r="8" spans="1:2" x14ac:dyDescent="0.2">
      <c r="A8" t="e">
        <f>-id</f>
        <v>#NAME?</v>
      </c>
      <c r="B8" t="str">
        <f t="shared" si="0"/>
        <v/>
      </c>
    </row>
    <row r="9" spans="1:2" x14ac:dyDescent="0.2">
      <c r="A9" t="s">
        <v>205</v>
      </c>
      <c r="B9" t="str">
        <f t="shared" si="0"/>
        <v>configure bridge port 1/1/15/3 vlan-id 900 tag single-tagged</v>
      </c>
    </row>
    <row r="10" spans="1:2" x14ac:dyDescent="0.2">
      <c r="A10" t="s">
        <v>206</v>
      </c>
      <c r="B10" t="str">
        <f t="shared" si="0"/>
        <v>configure bridge port 1/1/15/3 vlan-id 950 tag single-tagged</v>
      </c>
    </row>
    <row r="11" spans="1:2" x14ac:dyDescent="0.2">
      <c r="A11" t="s">
        <v>207</v>
      </c>
      <c r="B11" t="str">
        <f t="shared" si="0"/>
        <v>configure bridge port 1/1/15/3 vlan-id 951 tag single-tagged</v>
      </c>
    </row>
    <row r="12" spans="1:2" x14ac:dyDescent="0.2">
      <c r="A12" t="s">
        <v>208</v>
      </c>
      <c r="B12" t="str">
        <f t="shared" si="0"/>
        <v>configure bridge port 1/1/15/3 vlan-id 970 tag single-tagged</v>
      </c>
    </row>
    <row r="13" spans="1:2" x14ac:dyDescent="0.2">
      <c r="A13" t="s">
        <v>209</v>
      </c>
      <c r="B13" t="str">
        <f t="shared" si="0"/>
        <v>configure bridge port 1/1/15/3 vlan-id 989 tag single-tagged</v>
      </c>
    </row>
    <row r="14" spans="1:2" x14ac:dyDescent="0.2">
      <c r="A14" t="s">
        <v>316</v>
      </c>
      <c r="B14" t="str">
        <f t="shared" si="0"/>
        <v/>
      </c>
    </row>
    <row r="15" spans="1:2" x14ac:dyDescent="0.2">
      <c r="A15" t="e">
        <f>-id</f>
        <v>#NAME?</v>
      </c>
      <c r="B15" t="str">
        <f t="shared" si="0"/>
        <v/>
      </c>
    </row>
    <row r="16" spans="1:2" x14ac:dyDescent="0.2">
      <c r="A16" t="s">
        <v>210</v>
      </c>
      <c r="B16" t="str">
        <f t="shared" si="0"/>
        <v>configure bridge port 1/1/15/5 vlan-id 900 tag single-tagged</v>
      </c>
    </row>
    <row r="17" spans="1:2" x14ac:dyDescent="0.2">
      <c r="A17" t="s">
        <v>211</v>
      </c>
      <c r="B17" t="str">
        <f t="shared" si="0"/>
        <v>configure bridge port 1/1/15/5 vlan-id 950 tag single-tagged</v>
      </c>
    </row>
    <row r="18" spans="1:2" x14ac:dyDescent="0.2">
      <c r="A18" t="s">
        <v>212</v>
      </c>
      <c r="B18" t="str">
        <f t="shared" si="0"/>
        <v>configure bridge port 1/1/15/5 vlan-id 951 tag single-tagged</v>
      </c>
    </row>
    <row r="19" spans="1:2" x14ac:dyDescent="0.2">
      <c r="A19" t="s">
        <v>213</v>
      </c>
      <c r="B19" t="str">
        <f t="shared" si="0"/>
        <v>configure bridge port 1/1/15/5 vlan-id 970 tag single-tagged</v>
      </c>
    </row>
    <row r="20" spans="1:2" x14ac:dyDescent="0.2">
      <c r="A20" t="s">
        <v>317</v>
      </c>
      <c r="B20" t="str">
        <f t="shared" si="0"/>
        <v/>
      </c>
    </row>
    <row r="21" spans="1:2" x14ac:dyDescent="0.2">
      <c r="A21" t="e">
        <f>-id</f>
        <v>#NAME?</v>
      </c>
      <c r="B21" t="str">
        <f t="shared" si="0"/>
        <v/>
      </c>
    </row>
    <row r="22" spans="1:2" x14ac:dyDescent="0.2">
      <c r="A22" t="s">
        <v>214</v>
      </c>
      <c r="B22" t="str">
        <f t="shared" si="0"/>
        <v>configure bridge port 1/1/15/7 vlan-id 900 tag single-tagged</v>
      </c>
    </row>
    <row r="23" spans="1:2" x14ac:dyDescent="0.2">
      <c r="A23" t="s">
        <v>215</v>
      </c>
      <c r="B23" t="str">
        <f t="shared" si="0"/>
        <v>configure bridge port 1/1/15/7 vlan-id 950 tag single-tagged</v>
      </c>
    </row>
    <row r="24" spans="1:2" x14ac:dyDescent="0.2">
      <c r="A24" t="s">
        <v>216</v>
      </c>
      <c r="B24" t="str">
        <f t="shared" si="0"/>
        <v>configure bridge port 1/1/15/7 vlan-id 951 tag single-tagged</v>
      </c>
    </row>
    <row r="25" spans="1:2" x14ac:dyDescent="0.2">
      <c r="A25" t="s">
        <v>217</v>
      </c>
      <c r="B25" t="str">
        <f t="shared" si="0"/>
        <v>configure bridge port 1/1/15/7 vlan-id 970 tag single-tagged</v>
      </c>
    </row>
    <row r="26" spans="1:2" x14ac:dyDescent="0.2">
      <c r="A26" t="s">
        <v>318</v>
      </c>
      <c r="B26" t="str">
        <f t="shared" si="0"/>
        <v/>
      </c>
    </row>
    <row r="27" spans="1:2" x14ac:dyDescent="0.2">
      <c r="A27" t="e">
        <f>-id</f>
        <v>#NAME?</v>
      </c>
      <c r="B27" t="str">
        <f t="shared" si="0"/>
        <v/>
      </c>
    </row>
    <row r="28" spans="1:2" x14ac:dyDescent="0.2">
      <c r="A28" t="s">
        <v>218</v>
      </c>
      <c r="B28" t="str">
        <f t="shared" si="0"/>
        <v>configure bridge port 1/1/15/9 vlan-id 900 tag single-tagged</v>
      </c>
    </row>
    <row r="29" spans="1:2" x14ac:dyDescent="0.2">
      <c r="A29" t="s">
        <v>219</v>
      </c>
      <c r="B29" t="str">
        <f t="shared" si="0"/>
        <v>configure bridge port 1/1/15/9 vlan-id 950 tag single-tagged</v>
      </c>
    </row>
    <row r="30" spans="1:2" x14ac:dyDescent="0.2">
      <c r="A30" t="s">
        <v>220</v>
      </c>
      <c r="B30" t="str">
        <f t="shared" si="0"/>
        <v>configure bridge port 1/1/15/9 vlan-id 989 tag single-tagged</v>
      </c>
    </row>
    <row r="31" spans="1:2" x14ac:dyDescent="0.2">
      <c r="A31" t="s">
        <v>221</v>
      </c>
      <c r="B31" t="str">
        <f t="shared" si="0"/>
        <v>configure bridge port 1/1/15/9 vlan-id 992 tag single-tagged</v>
      </c>
    </row>
    <row r="32" spans="1:2" x14ac:dyDescent="0.2">
      <c r="A32" t="s">
        <v>319</v>
      </c>
      <c r="B32" t="str">
        <f t="shared" si="0"/>
        <v/>
      </c>
    </row>
    <row r="33" spans="1:2" x14ac:dyDescent="0.2">
      <c r="A33" t="s">
        <v>320</v>
      </c>
      <c r="B33" t="str">
        <f t="shared" si="0"/>
        <v/>
      </c>
    </row>
    <row r="34" spans="1:2" x14ac:dyDescent="0.2">
      <c r="A34" t="s">
        <v>222</v>
      </c>
      <c r="B34" t="str">
        <f t="shared" si="0"/>
        <v>configure bridge port 1/1/15/11 vlan-id 900 tag single-tagged</v>
      </c>
    </row>
    <row r="35" spans="1:2" x14ac:dyDescent="0.2">
      <c r="A35" t="s">
        <v>223</v>
      </c>
      <c r="B35" t="str">
        <f t="shared" si="0"/>
        <v>configure bridge port 1/1/15/11 vlan-id 950 tag single-tagged</v>
      </c>
    </row>
    <row r="36" spans="1:2" x14ac:dyDescent="0.2">
      <c r="A36" t="s">
        <v>224</v>
      </c>
      <c r="B36" t="str">
        <f t="shared" si="0"/>
        <v>configure bridge port 1/1/15/11 vlan-id 989 tag single-tagged</v>
      </c>
    </row>
    <row r="37" spans="1:2" x14ac:dyDescent="0.2">
      <c r="A37" t="s">
        <v>225</v>
      </c>
      <c r="B37" t="str">
        <f t="shared" si="0"/>
        <v>configure bridge port 1/1/15/11 vlan-id 992 tag single-tagged</v>
      </c>
    </row>
    <row r="38" spans="1:2" x14ac:dyDescent="0.2">
      <c r="A38" t="s">
        <v>321</v>
      </c>
      <c r="B38" t="str">
        <f t="shared" si="0"/>
        <v/>
      </c>
    </row>
    <row r="39" spans="1:2" x14ac:dyDescent="0.2">
      <c r="A39" t="s">
        <v>320</v>
      </c>
      <c r="B39" t="str">
        <f t="shared" si="0"/>
        <v/>
      </c>
    </row>
    <row r="40" spans="1:2" x14ac:dyDescent="0.2">
      <c r="A40" t="s">
        <v>226</v>
      </c>
      <c r="B40" t="str">
        <f t="shared" si="0"/>
        <v>configure bridge port 1/1/15/13 vlan-id 990 tag single-tagged</v>
      </c>
    </row>
    <row r="41" spans="1:2" x14ac:dyDescent="0.2">
      <c r="A41" t="s">
        <v>227</v>
      </c>
      <c r="B41" t="str">
        <f t="shared" si="0"/>
        <v>configure bridge port 1/1/15/13 vlan-id 992 tag single-tagged</v>
      </c>
    </row>
    <row r="42" spans="1:2" x14ac:dyDescent="0.2">
      <c r="A42" t="s">
        <v>322</v>
      </c>
      <c r="B42" t="str">
        <f t="shared" si="0"/>
        <v/>
      </c>
    </row>
    <row r="43" spans="1:2" x14ac:dyDescent="0.2">
      <c r="A43" t="s">
        <v>320</v>
      </c>
      <c r="B43" t="str">
        <f t="shared" si="0"/>
        <v/>
      </c>
    </row>
    <row r="44" spans="1:2" x14ac:dyDescent="0.2">
      <c r="A44" t="s">
        <v>228</v>
      </c>
      <c r="B44" t="str">
        <f t="shared" si="0"/>
        <v>configure bridge port 1/1/15/15 vlan-id 900 tag single-tagged</v>
      </c>
    </row>
    <row r="45" spans="1:2" x14ac:dyDescent="0.2">
      <c r="A45" t="s">
        <v>229</v>
      </c>
      <c r="B45" t="str">
        <f t="shared" si="0"/>
        <v>configure bridge port 1/1/15/15 vlan-id 950 tag single-tagged</v>
      </c>
    </row>
    <row r="46" spans="1:2" x14ac:dyDescent="0.2">
      <c r="A46" t="s">
        <v>230</v>
      </c>
      <c r="B46" t="str">
        <f t="shared" si="0"/>
        <v>configure bridge port 1/1/15/15 vlan-id 989 tag single-tagged</v>
      </c>
    </row>
    <row r="47" spans="1:2" x14ac:dyDescent="0.2">
      <c r="A47" t="s">
        <v>231</v>
      </c>
      <c r="B47" t="str">
        <f t="shared" si="0"/>
        <v>configure bridge port 1/1/15/15 vlan-id 992 tag single-tagged</v>
      </c>
    </row>
    <row r="48" spans="1:2" x14ac:dyDescent="0.2">
      <c r="A48" t="s">
        <v>323</v>
      </c>
      <c r="B48" t="str">
        <f t="shared" si="0"/>
        <v/>
      </c>
    </row>
    <row r="49" spans="1:2" x14ac:dyDescent="0.2">
      <c r="A49" t="s">
        <v>320</v>
      </c>
      <c r="B49" t="str">
        <f t="shared" si="0"/>
        <v/>
      </c>
    </row>
    <row r="50" spans="1:2" x14ac:dyDescent="0.2">
      <c r="A50" t="s">
        <v>232</v>
      </c>
      <c r="B50" t="str">
        <f t="shared" si="0"/>
        <v>configure bridge port 1/1/15/17 vlan-id 900 tag single-tagged</v>
      </c>
    </row>
    <row r="51" spans="1:2" x14ac:dyDescent="0.2">
      <c r="A51" t="s">
        <v>233</v>
      </c>
      <c r="B51" t="str">
        <f t="shared" si="0"/>
        <v>configure bridge port 1/1/15/17 vlan-id 950 tag single-tagged</v>
      </c>
    </row>
    <row r="52" spans="1:2" x14ac:dyDescent="0.2">
      <c r="A52" t="s">
        <v>234</v>
      </c>
      <c r="B52" t="str">
        <f t="shared" si="0"/>
        <v>configure bridge port 1/1/15/17 vlan-id 951 tag single-tagged</v>
      </c>
    </row>
    <row r="53" spans="1:2" x14ac:dyDescent="0.2">
      <c r="A53" t="s">
        <v>235</v>
      </c>
      <c r="B53" t="str">
        <f t="shared" si="0"/>
        <v>configure bridge port 1/1/15/17 vlan-id 970 tag single-tagged</v>
      </c>
    </row>
    <row r="54" spans="1:2" x14ac:dyDescent="0.2">
      <c r="A54" t="s">
        <v>236</v>
      </c>
      <c r="B54" t="str">
        <f t="shared" si="0"/>
        <v>configure bridge port 1/1/15/17 vlan-id 992 tag single-tagged</v>
      </c>
    </row>
    <row r="55" spans="1:2" x14ac:dyDescent="0.2">
      <c r="A55" t="s">
        <v>324</v>
      </c>
      <c r="B55" t="str">
        <f t="shared" si="0"/>
        <v/>
      </c>
    </row>
    <row r="56" spans="1:2" x14ac:dyDescent="0.2">
      <c r="A56" t="s">
        <v>320</v>
      </c>
      <c r="B56" t="str">
        <f t="shared" si="0"/>
        <v/>
      </c>
    </row>
    <row r="57" spans="1:2" x14ac:dyDescent="0.2">
      <c r="A57" t="s">
        <v>237</v>
      </c>
      <c r="B57" t="str">
        <f t="shared" si="0"/>
        <v>configure bridge port 1/1/15/19 vlan-id 900 tag single-tagged</v>
      </c>
    </row>
    <row r="58" spans="1:2" x14ac:dyDescent="0.2">
      <c r="A58" t="s">
        <v>238</v>
      </c>
      <c r="B58" t="str">
        <f t="shared" si="0"/>
        <v>configure bridge port 1/1/15/19 vlan-id 950 tag single-tagged</v>
      </c>
    </row>
    <row r="59" spans="1:2" x14ac:dyDescent="0.2">
      <c r="A59" t="s">
        <v>239</v>
      </c>
      <c r="B59" t="str">
        <f t="shared" si="0"/>
        <v>configure bridge port 1/1/15/19 vlan-id 951 tag single-tagged</v>
      </c>
    </row>
    <row r="60" spans="1:2" x14ac:dyDescent="0.2">
      <c r="A60" t="s">
        <v>240</v>
      </c>
      <c r="B60" t="str">
        <f t="shared" si="0"/>
        <v>configure bridge port 1/1/15/19 vlan-id 970 tag single-tagged</v>
      </c>
    </row>
    <row r="61" spans="1:2" x14ac:dyDescent="0.2">
      <c r="A61" t="s">
        <v>241</v>
      </c>
      <c r="B61" t="str">
        <f t="shared" si="0"/>
        <v>configure bridge port 1/1/15/19 vlan-id 992 tag single-tagged</v>
      </c>
    </row>
    <row r="62" spans="1:2" x14ac:dyDescent="0.2">
      <c r="A62" t="s">
        <v>325</v>
      </c>
      <c r="B62" t="str">
        <f t="shared" si="0"/>
        <v/>
      </c>
    </row>
    <row r="63" spans="1:2" x14ac:dyDescent="0.2">
      <c r="A63" t="s">
        <v>320</v>
      </c>
      <c r="B63" t="str">
        <f t="shared" si="0"/>
        <v/>
      </c>
    </row>
    <row r="64" spans="1:2" x14ac:dyDescent="0.2">
      <c r="A64" t="s">
        <v>242</v>
      </c>
      <c r="B64" t="str">
        <f t="shared" si="0"/>
        <v>configure bridge port 1/1/15/21 vlan-id 900 tag single-tagged</v>
      </c>
    </row>
    <row r="65" spans="1:2" x14ac:dyDescent="0.2">
      <c r="A65" t="s">
        <v>243</v>
      </c>
      <c r="B65" t="str">
        <f t="shared" si="0"/>
        <v>configure bridge port 1/1/15/21 vlan-id 950 tag single-tagged</v>
      </c>
    </row>
    <row r="66" spans="1:2" x14ac:dyDescent="0.2">
      <c r="A66" t="s">
        <v>244</v>
      </c>
      <c r="B66" t="str">
        <f t="shared" si="0"/>
        <v>configure bridge port 1/1/15/21 vlan-id 989 tag single-tagged</v>
      </c>
    </row>
    <row r="67" spans="1:2" x14ac:dyDescent="0.2">
      <c r="A67" t="s">
        <v>326</v>
      </c>
      <c r="B67" t="str">
        <f t="shared" ref="B67:B130" si="1">IFERROR(IF(LEFT(A67,4)="conf",A67,""),"")</f>
        <v/>
      </c>
    </row>
    <row r="68" spans="1:2" x14ac:dyDescent="0.2">
      <c r="A68" t="s">
        <v>320</v>
      </c>
      <c r="B68" t="str">
        <f t="shared" si="1"/>
        <v/>
      </c>
    </row>
    <row r="69" spans="1:2" x14ac:dyDescent="0.2">
      <c r="A69" t="s">
        <v>245</v>
      </c>
      <c r="B69" t="str">
        <f t="shared" si="1"/>
        <v>configure bridge port 1/1/15/23 vlan-id 900 tag single-tagged in-qos-prof-name name:Default_TC7</v>
      </c>
    </row>
    <row r="70" spans="1:2" x14ac:dyDescent="0.2">
      <c r="A70" t="s">
        <v>246</v>
      </c>
      <c r="B70" t="str">
        <f t="shared" si="1"/>
        <v>configure bridge port 1/1/15/23 vlan-id 950 tag single-tagged in-qos-prof-name name:Default_TC7</v>
      </c>
    </row>
    <row r="71" spans="1:2" x14ac:dyDescent="0.2">
      <c r="A71" t="s">
        <v>247</v>
      </c>
      <c r="B71" t="str">
        <f t="shared" si="1"/>
        <v>configure bridge port 1/1/15/23 vlan-id 951 tag single-tagged in-qos-prof-name name:Default_TC7</v>
      </c>
    </row>
    <row r="72" spans="1:2" x14ac:dyDescent="0.2">
      <c r="A72" t="s">
        <v>248</v>
      </c>
      <c r="B72" t="str">
        <f t="shared" si="1"/>
        <v>configure bridge port 1/1/15/23 vlan-id 970 tag single-tagged in-qos-prof-name name:Default_TC7</v>
      </c>
    </row>
    <row r="73" spans="1:2" x14ac:dyDescent="0.2">
      <c r="A73" t="s">
        <v>249</v>
      </c>
      <c r="B73" t="str">
        <f t="shared" si="1"/>
        <v>configure bridge port 1/1/15/23 vlan-id 989 tag single-tagged</v>
      </c>
    </row>
    <row r="74" spans="1:2" x14ac:dyDescent="0.2">
      <c r="A74" t="s">
        <v>250</v>
      </c>
      <c r="B74" t="str">
        <f t="shared" si="1"/>
        <v>configure bridge port 1/1/15/23 vlan-id 992 tag single-tagged</v>
      </c>
    </row>
    <row r="75" spans="1:2" x14ac:dyDescent="0.2">
      <c r="A75" t="s">
        <v>327</v>
      </c>
      <c r="B75" t="str">
        <f t="shared" si="1"/>
        <v/>
      </c>
    </row>
    <row r="76" spans="1:2" x14ac:dyDescent="0.2">
      <c r="A76" t="s">
        <v>320</v>
      </c>
      <c r="B76" t="str">
        <f t="shared" si="1"/>
        <v/>
      </c>
    </row>
    <row r="77" spans="1:2" x14ac:dyDescent="0.2">
      <c r="A77" t="s">
        <v>251</v>
      </c>
      <c r="B77" t="str">
        <f t="shared" si="1"/>
        <v>configure bridge port 1/1/15/25 vlan-id 900 tag single-tagged</v>
      </c>
    </row>
    <row r="78" spans="1:2" x14ac:dyDescent="0.2">
      <c r="A78" t="s">
        <v>252</v>
      </c>
      <c r="B78" t="str">
        <f t="shared" si="1"/>
        <v>configure bridge port 1/1/15/25 vlan-id 950 tag single-tagged</v>
      </c>
    </row>
    <row r="79" spans="1:2" x14ac:dyDescent="0.2">
      <c r="A79" t="s">
        <v>328</v>
      </c>
      <c r="B79" t="str">
        <f t="shared" si="1"/>
        <v/>
      </c>
    </row>
    <row r="80" spans="1:2" x14ac:dyDescent="0.2">
      <c r="A80" t="s">
        <v>320</v>
      </c>
      <c r="B80" t="str">
        <f t="shared" si="1"/>
        <v/>
      </c>
    </row>
    <row r="81" spans="1:2" x14ac:dyDescent="0.2">
      <c r="A81" t="s">
        <v>253</v>
      </c>
      <c r="B81" t="str">
        <f t="shared" si="1"/>
        <v>configure bridge port 1/1/15/27 vlan-id 900 tag single-tagged</v>
      </c>
    </row>
    <row r="82" spans="1:2" x14ac:dyDescent="0.2">
      <c r="A82" t="s">
        <v>254</v>
      </c>
      <c r="B82" t="str">
        <f t="shared" si="1"/>
        <v>configure bridge port 1/1/15/27 vlan-id 950 tag single-tagged</v>
      </c>
    </row>
    <row r="83" spans="1:2" x14ac:dyDescent="0.2">
      <c r="A83" t="s">
        <v>255</v>
      </c>
      <c r="B83" t="str">
        <f t="shared" si="1"/>
        <v>configure bridge port 1/1/15/27 vlan-id 989 tag single-tagged</v>
      </c>
    </row>
    <row r="84" spans="1:2" x14ac:dyDescent="0.2">
      <c r="A84" t="s">
        <v>329</v>
      </c>
      <c r="B84" t="str">
        <f t="shared" si="1"/>
        <v/>
      </c>
    </row>
    <row r="85" spans="1:2" x14ac:dyDescent="0.2">
      <c r="A85" t="s">
        <v>320</v>
      </c>
      <c r="B85" t="str">
        <f t="shared" si="1"/>
        <v/>
      </c>
    </row>
    <row r="86" spans="1:2" x14ac:dyDescent="0.2">
      <c r="A86" t="s">
        <v>256</v>
      </c>
      <c r="B86" t="str">
        <f t="shared" si="1"/>
        <v>configure bridge port 1/1/15/29 vlan-id 900 tag single-tagged</v>
      </c>
    </row>
    <row r="87" spans="1:2" x14ac:dyDescent="0.2">
      <c r="A87" t="s">
        <v>257</v>
      </c>
      <c r="B87" t="str">
        <f t="shared" si="1"/>
        <v>configure bridge port 1/1/15/29 vlan-id 950 tag single-tagged</v>
      </c>
    </row>
    <row r="88" spans="1:2" x14ac:dyDescent="0.2">
      <c r="A88" t="s">
        <v>330</v>
      </c>
      <c r="B88" t="str">
        <f t="shared" si="1"/>
        <v/>
      </c>
    </row>
    <row r="89" spans="1:2" x14ac:dyDescent="0.2">
      <c r="A89" t="s">
        <v>320</v>
      </c>
      <c r="B89" t="str">
        <f t="shared" si="1"/>
        <v/>
      </c>
    </row>
    <row r="90" spans="1:2" x14ac:dyDescent="0.2">
      <c r="A90" t="s">
        <v>258</v>
      </c>
      <c r="B90" t="str">
        <f t="shared" si="1"/>
        <v>configure bridge port 1/1/15/31 vlan-id 900 tag single-tagged in-qos-prof-name name:Default_TC7</v>
      </c>
    </row>
    <row r="91" spans="1:2" x14ac:dyDescent="0.2">
      <c r="A91" t="s">
        <v>259</v>
      </c>
      <c r="B91" t="str">
        <f t="shared" si="1"/>
        <v>configure bridge port 1/1/15/31 vlan-id 950 tag single-tagged in-qos-prof-name name:Default_TC7</v>
      </c>
    </row>
    <row r="92" spans="1:2" x14ac:dyDescent="0.2">
      <c r="A92" t="s">
        <v>260</v>
      </c>
      <c r="B92" t="str">
        <f t="shared" si="1"/>
        <v>configure bridge port 1/1/15/31 vlan-id 989 tag single-tagged in-qos-prof-name name:Default_TC7</v>
      </c>
    </row>
    <row r="93" spans="1:2" x14ac:dyDescent="0.2">
      <c r="A93" t="s">
        <v>331</v>
      </c>
      <c r="B93" t="str">
        <f t="shared" si="1"/>
        <v/>
      </c>
    </row>
    <row r="94" spans="1:2" x14ac:dyDescent="0.2">
      <c r="A94" t="s">
        <v>320</v>
      </c>
      <c r="B94" t="str">
        <f t="shared" si="1"/>
        <v/>
      </c>
    </row>
    <row r="95" spans="1:2" x14ac:dyDescent="0.2">
      <c r="A95" t="s">
        <v>261</v>
      </c>
      <c r="B95" t="str">
        <f t="shared" si="1"/>
        <v>configure bridge port 1/1/15/33 vlan-id 900 tag single-tagged</v>
      </c>
    </row>
    <row r="96" spans="1:2" x14ac:dyDescent="0.2">
      <c r="A96" t="s">
        <v>262</v>
      </c>
      <c r="B96" t="str">
        <f t="shared" si="1"/>
        <v>configure bridge port 1/1/15/33 vlan-id 950 tag single-tagged</v>
      </c>
    </row>
    <row r="97" spans="1:2" x14ac:dyDescent="0.2">
      <c r="A97" t="s">
        <v>263</v>
      </c>
      <c r="B97" t="str">
        <f t="shared" si="1"/>
        <v>configure bridge port 1/1/15/33 vlan-id 989 tag single-tagged</v>
      </c>
    </row>
    <row r="98" spans="1:2" x14ac:dyDescent="0.2">
      <c r="A98" t="s">
        <v>332</v>
      </c>
      <c r="B98" t="str">
        <f t="shared" si="1"/>
        <v/>
      </c>
    </row>
    <row r="99" spans="1:2" x14ac:dyDescent="0.2">
      <c r="A99" t="s">
        <v>320</v>
      </c>
      <c r="B99" t="str">
        <f t="shared" si="1"/>
        <v/>
      </c>
    </row>
    <row r="100" spans="1:2" x14ac:dyDescent="0.2">
      <c r="A100" t="s">
        <v>264</v>
      </c>
      <c r="B100" t="str">
        <f t="shared" si="1"/>
        <v>configure bridge port 1/1/15/35 vlan-id 900 tag single-tagged</v>
      </c>
    </row>
    <row r="101" spans="1:2" x14ac:dyDescent="0.2">
      <c r="A101" t="s">
        <v>265</v>
      </c>
      <c r="B101" t="str">
        <f t="shared" si="1"/>
        <v>configure bridge port 1/1/15/35 vlan-id 950 tag single-tagged</v>
      </c>
    </row>
    <row r="102" spans="1:2" x14ac:dyDescent="0.2">
      <c r="A102" t="s">
        <v>266</v>
      </c>
      <c r="B102" t="str">
        <f t="shared" si="1"/>
        <v>configure bridge port 1/1/15/35 vlan-id 951 tag single-tagged</v>
      </c>
    </row>
    <row r="103" spans="1:2" x14ac:dyDescent="0.2">
      <c r="A103" t="s">
        <v>267</v>
      </c>
      <c r="B103" t="str">
        <f t="shared" si="1"/>
        <v>configure bridge port 1/1/15/35 vlan-id 989 tag single-tagged in-qos-prof-name name:Default_TC7</v>
      </c>
    </row>
    <row r="104" spans="1:2" x14ac:dyDescent="0.2">
      <c r="A104" t="s">
        <v>333</v>
      </c>
      <c r="B104" t="str">
        <f t="shared" si="1"/>
        <v/>
      </c>
    </row>
    <row r="105" spans="1:2" x14ac:dyDescent="0.2">
      <c r="A105" t="e">
        <f>-id</f>
        <v>#NAME?</v>
      </c>
      <c r="B105" t="str">
        <f t="shared" si="1"/>
        <v/>
      </c>
    </row>
    <row r="106" spans="1:2" x14ac:dyDescent="0.2">
      <c r="A106" t="s">
        <v>268</v>
      </c>
      <c r="B106" t="str">
        <f t="shared" si="1"/>
        <v>configure bridge port 1/1/16/1 vlan-id 900 tag single-tagged in-qos-prof-name name:Default_TC7</v>
      </c>
    </row>
    <row r="107" spans="1:2" x14ac:dyDescent="0.2">
      <c r="A107" t="s">
        <v>269</v>
      </c>
      <c r="B107" t="str">
        <f t="shared" si="1"/>
        <v>configure bridge port 1/1/16/1 vlan-id 950 tag single-tagged in-qos-prof-name name:Default_TC7</v>
      </c>
    </row>
    <row r="108" spans="1:2" x14ac:dyDescent="0.2">
      <c r="A108" t="s">
        <v>270</v>
      </c>
      <c r="B108" t="str">
        <f t="shared" si="1"/>
        <v>configure bridge port 1/1/16/1 vlan-id 951 tag single-tagged in-qos-prof-name name:Default_TC7</v>
      </c>
    </row>
    <row r="109" spans="1:2" x14ac:dyDescent="0.2">
      <c r="A109" t="s">
        <v>271</v>
      </c>
      <c r="B109" t="str">
        <f t="shared" si="1"/>
        <v>configure bridge port 1/1/16/1 vlan-id 970 tag single-tagged in-qos-prof-name name:Default_TC7</v>
      </c>
    </row>
    <row r="110" spans="1:2" x14ac:dyDescent="0.2">
      <c r="A110" t="s">
        <v>334</v>
      </c>
      <c r="B110" t="str">
        <f t="shared" si="1"/>
        <v/>
      </c>
    </row>
    <row r="111" spans="1:2" x14ac:dyDescent="0.2">
      <c r="A111" t="e">
        <f>-id</f>
        <v>#NAME?</v>
      </c>
      <c r="B111" t="str">
        <f t="shared" si="1"/>
        <v/>
      </c>
    </row>
    <row r="112" spans="1:2" x14ac:dyDescent="0.2">
      <c r="A112" t="s">
        <v>272</v>
      </c>
      <c r="B112" t="str">
        <f t="shared" si="1"/>
        <v>configure bridge port 1/1/16/5 vlan-id 900 tag single-tagged</v>
      </c>
    </row>
    <row r="113" spans="1:2" x14ac:dyDescent="0.2">
      <c r="A113" t="s">
        <v>273</v>
      </c>
      <c r="B113" t="str">
        <f t="shared" si="1"/>
        <v>configure bridge port 1/1/16/5 vlan-id 950 tag single-tagged</v>
      </c>
    </row>
    <row r="114" spans="1:2" x14ac:dyDescent="0.2">
      <c r="A114" t="s">
        <v>274</v>
      </c>
      <c r="B114" t="str">
        <f t="shared" si="1"/>
        <v>configure bridge port 1/1/16/5 vlan-id 989 tag single-tagged in-qos-prof-name name:Default_TC7</v>
      </c>
    </row>
    <row r="115" spans="1:2" x14ac:dyDescent="0.2">
      <c r="A115" t="s">
        <v>335</v>
      </c>
      <c r="B115" t="str">
        <f t="shared" si="1"/>
        <v/>
      </c>
    </row>
    <row r="116" spans="1:2" x14ac:dyDescent="0.2">
      <c r="A116" t="s">
        <v>320</v>
      </c>
      <c r="B116" t="str">
        <f t="shared" si="1"/>
        <v/>
      </c>
    </row>
    <row r="117" spans="1:2" x14ac:dyDescent="0.2">
      <c r="A117" t="s">
        <v>275</v>
      </c>
      <c r="B117" t="str">
        <f t="shared" si="1"/>
        <v>configure bridge port 1/1/16/11 vlan-id 900 tag single-tagged</v>
      </c>
    </row>
    <row r="118" spans="1:2" x14ac:dyDescent="0.2">
      <c r="A118" t="s">
        <v>276</v>
      </c>
      <c r="B118" t="str">
        <f t="shared" si="1"/>
        <v>configure bridge port 1/1/16/11 vlan-id 950 tag single-tagged</v>
      </c>
    </row>
    <row r="119" spans="1:2" x14ac:dyDescent="0.2">
      <c r="A119" t="s">
        <v>277</v>
      </c>
      <c r="B119" t="str">
        <f t="shared" si="1"/>
        <v>configure bridge port 1/1/16/11 vlan-id 951 tag single-tagged</v>
      </c>
    </row>
    <row r="120" spans="1:2" x14ac:dyDescent="0.2">
      <c r="A120" t="s">
        <v>278</v>
      </c>
      <c r="B120" t="str">
        <f t="shared" si="1"/>
        <v>configure bridge port 1/1/16/11 vlan-id 970 tag single-tagged</v>
      </c>
    </row>
    <row r="121" spans="1:2" x14ac:dyDescent="0.2">
      <c r="A121" t="s">
        <v>336</v>
      </c>
      <c r="B121" t="str">
        <f t="shared" si="1"/>
        <v/>
      </c>
    </row>
    <row r="122" spans="1:2" x14ac:dyDescent="0.2">
      <c r="A122" t="s">
        <v>320</v>
      </c>
      <c r="B122" t="str">
        <f t="shared" si="1"/>
        <v/>
      </c>
    </row>
    <row r="123" spans="1:2" x14ac:dyDescent="0.2">
      <c r="A123" t="s">
        <v>279</v>
      </c>
      <c r="B123" t="str">
        <f t="shared" si="1"/>
        <v>configure bridge port 1/1/16/13 vlan-id 900 tag single-tagged</v>
      </c>
    </row>
    <row r="124" spans="1:2" x14ac:dyDescent="0.2">
      <c r="A124" t="s">
        <v>280</v>
      </c>
      <c r="B124" t="str">
        <f t="shared" si="1"/>
        <v>configure bridge port 1/1/16/13 vlan-id 950 tag single-tagged</v>
      </c>
    </row>
    <row r="125" spans="1:2" x14ac:dyDescent="0.2">
      <c r="A125" t="s">
        <v>281</v>
      </c>
      <c r="B125" t="str">
        <f t="shared" si="1"/>
        <v>configure bridge port 1/1/16/13 vlan-id 951 tag single-tagged</v>
      </c>
    </row>
    <row r="126" spans="1:2" x14ac:dyDescent="0.2">
      <c r="A126" t="s">
        <v>282</v>
      </c>
      <c r="B126" t="str">
        <f t="shared" si="1"/>
        <v>configure bridge port 1/1/16/13 vlan-id 970 tag single-tagged</v>
      </c>
    </row>
    <row r="127" spans="1:2" x14ac:dyDescent="0.2">
      <c r="A127" t="s">
        <v>283</v>
      </c>
      <c r="B127" t="str">
        <f t="shared" si="1"/>
        <v>configure bridge port 1/1/16/13 vlan-id 989 tag single-tagged</v>
      </c>
    </row>
    <row r="128" spans="1:2" x14ac:dyDescent="0.2">
      <c r="A128" t="s">
        <v>337</v>
      </c>
      <c r="B128" t="str">
        <f t="shared" si="1"/>
        <v/>
      </c>
    </row>
    <row r="129" spans="1:2" x14ac:dyDescent="0.2">
      <c r="A129" t="s">
        <v>320</v>
      </c>
      <c r="B129" t="str">
        <f t="shared" si="1"/>
        <v/>
      </c>
    </row>
    <row r="130" spans="1:2" x14ac:dyDescent="0.2">
      <c r="A130" t="s">
        <v>284</v>
      </c>
      <c r="B130" t="str">
        <f t="shared" si="1"/>
        <v>configure bridge port 1/1/16/15 vlan-id 900 tag single-tagged in-qos-prof-name name:Default_TC7</v>
      </c>
    </row>
    <row r="131" spans="1:2" x14ac:dyDescent="0.2">
      <c r="A131" t="s">
        <v>285</v>
      </c>
      <c r="B131" t="str">
        <f t="shared" ref="B131:B174" si="2">IFERROR(IF(LEFT(A131,4)="conf",A131,""),"")</f>
        <v>configure bridge port 1/1/16/15 vlan-id 950 tag single-tagged in-qos-prof-name name:Default_TC7</v>
      </c>
    </row>
    <row r="132" spans="1:2" x14ac:dyDescent="0.2">
      <c r="A132" t="s">
        <v>286</v>
      </c>
      <c r="B132" t="str">
        <f t="shared" si="2"/>
        <v>configure bridge port 1/1/16/15 vlan-id 951 tag single-tagged in-qos-prof-name name:Default_TC7</v>
      </c>
    </row>
    <row r="133" spans="1:2" x14ac:dyDescent="0.2">
      <c r="A133" t="s">
        <v>287</v>
      </c>
      <c r="B133" t="str">
        <f t="shared" si="2"/>
        <v>configure bridge port 1/1/16/15 vlan-id 970 tag single-tagged in-qos-prof-name name:Default_TC7</v>
      </c>
    </row>
    <row r="134" spans="1:2" x14ac:dyDescent="0.2">
      <c r="A134" t="s">
        <v>338</v>
      </c>
      <c r="B134" t="str">
        <f t="shared" si="2"/>
        <v/>
      </c>
    </row>
    <row r="135" spans="1:2" x14ac:dyDescent="0.2">
      <c r="A135" t="s">
        <v>320</v>
      </c>
      <c r="B135" t="str">
        <f t="shared" si="2"/>
        <v/>
      </c>
    </row>
    <row r="136" spans="1:2" x14ac:dyDescent="0.2">
      <c r="A136" t="s">
        <v>288</v>
      </c>
      <c r="B136" t="str">
        <f t="shared" si="2"/>
        <v>configure bridge port 1/1/16/17 vlan-id 900 tag single-tagged in-qos-prof-name name:Default_TC7</v>
      </c>
    </row>
    <row r="137" spans="1:2" x14ac:dyDescent="0.2">
      <c r="A137" t="s">
        <v>289</v>
      </c>
      <c r="B137" t="str">
        <f t="shared" si="2"/>
        <v>configure bridge port 1/1/16/17 vlan-id 950 tag single-tagged in-qos-prof-name name:Default_TC7</v>
      </c>
    </row>
    <row r="138" spans="1:2" x14ac:dyDescent="0.2">
      <c r="A138" t="s">
        <v>290</v>
      </c>
      <c r="B138" t="str">
        <f t="shared" si="2"/>
        <v>configure bridge port 1/1/16/17 vlan-id 951 tag single-tagged in-qos-prof-name name:Default_TC7</v>
      </c>
    </row>
    <row r="139" spans="1:2" x14ac:dyDescent="0.2">
      <c r="A139" t="s">
        <v>291</v>
      </c>
      <c r="B139" t="str">
        <f t="shared" si="2"/>
        <v>configure bridge port 1/1/16/17 vlan-id 970 tag single-tagged in-qos-prof-name name:Default_TC7</v>
      </c>
    </row>
    <row r="140" spans="1:2" x14ac:dyDescent="0.2">
      <c r="A140" t="s">
        <v>339</v>
      </c>
      <c r="B140" t="str">
        <f t="shared" si="2"/>
        <v/>
      </c>
    </row>
    <row r="141" spans="1:2" x14ac:dyDescent="0.2">
      <c r="A141" t="s">
        <v>320</v>
      </c>
      <c r="B141" t="str">
        <f t="shared" si="2"/>
        <v/>
      </c>
    </row>
    <row r="142" spans="1:2" x14ac:dyDescent="0.2">
      <c r="A142" t="s">
        <v>292</v>
      </c>
      <c r="B142" t="str">
        <f t="shared" si="2"/>
        <v>configure bridge port 1/1/16/19 vlan-id 900 tag single-tagged in-qos-prof-name name:Default_TC7</v>
      </c>
    </row>
    <row r="143" spans="1:2" x14ac:dyDescent="0.2">
      <c r="A143" t="s">
        <v>293</v>
      </c>
      <c r="B143" t="str">
        <f t="shared" si="2"/>
        <v>configure bridge port 1/1/16/19 vlan-id 950 tag single-tagged in-qos-prof-name name:Default_TC7</v>
      </c>
    </row>
    <row r="144" spans="1:2" x14ac:dyDescent="0.2">
      <c r="A144" t="s">
        <v>294</v>
      </c>
      <c r="B144" t="str">
        <f t="shared" si="2"/>
        <v>configure bridge port 1/1/16/19 vlan-id 951 tag single-tagged in-qos-prof-name name:Default_TC7</v>
      </c>
    </row>
    <row r="145" spans="1:2" x14ac:dyDescent="0.2">
      <c r="A145" t="s">
        <v>295</v>
      </c>
      <c r="B145" t="str">
        <f t="shared" si="2"/>
        <v>configure bridge port 1/1/16/19 vlan-id 970 tag single-tagged in-qos-prof-name name:Default_TC7</v>
      </c>
    </row>
    <row r="146" spans="1:2" x14ac:dyDescent="0.2">
      <c r="A146" t="s">
        <v>340</v>
      </c>
      <c r="B146" t="str">
        <f t="shared" si="2"/>
        <v/>
      </c>
    </row>
    <row r="147" spans="1:2" x14ac:dyDescent="0.2">
      <c r="A147" t="s">
        <v>320</v>
      </c>
      <c r="B147" t="str">
        <f t="shared" si="2"/>
        <v/>
      </c>
    </row>
    <row r="148" spans="1:2" x14ac:dyDescent="0.2">
      <c r="A148" t="s">
        <v>296</v>
      </c>
      <c r="B148" t="str">
        <f t="shared" si="2"/>
        <v>configure bridge port 1/1/16/21 vlan-id 900 tag single-tagged</v>
      </c>
    </row>
    <row r="149" spans="1:2" x14ac:dyDescent="0.2">
      <c r="A149" t="s">
        <v>297</v>
      </c>
      <c r="B149" t="str">
        <f t="shared" si="2"/>
        <v>configure bridge port 1/1/16/21 vlan-id 950 tag single-tagged</v>
      </c>
    </row>
    <row r="150" spans="1:2" x14ac:dyDescent="0.2">
      <c r="A150" t="s">
        <v>298</v>
      </c>
      <c r="B150" t="str">
        <f t="shared" si="2"/>
        <v>configure bridge port 1/1/16/21 vlan-id 951 tag single-tagged</v>
      </c>
    </row>
    <row r="151" spans="1:2" x14ac:dyDescent="0.2">
      <c r="A151" t="s">
        <v>299</v>
      </c>
      <c r="B151" t="str">
        <f t="shared" si="2"/>
        <v>configure bridge port 1/1/16/21 vlan-id 970 tag single-tagged</v>
      </c>
    </row>
    <row r="152" spans="1:2" x14ac:dyDescent="0.2">
      <c r="A152" t="s">
        <v>300</v>
      </c>
      <c r="B152" t="str">
        <f t="shared" si="2"/>
        <v>configure bridge port 1/1/16/21 vlan-id 990 tag single-tagged</v>
      </c>
    </row>
    <row r="153" spans="1:2" x14ac:dyDescent="0.2">
      <c r="A153" t="s">
        <v>301</v>
      </c>
      <c r="B153" t="str">
        <f t="shared" si="2"/>
        <v>configure bridge port 1/1/16/21 vlan-id 992 tag single-tagged</v>
      </c>
    </row>
    <row r="154" spans="1:2" x14ac:dyDescent="0.2">
      <c r="A154" t="s">
        <v>341</v>
      </c>
      <c r="B154" t="str">
        <f t="shared" si="2"/>
        <v/>
      </c>
    </row>
    <row r="155" spans="1:2" x14ac:dyDescent="0.2">
      <c r="A155" t="s">
        <v>320</v>
      </c>
      <c r="B155" t="str">
        <f t="shared" si="2"/>
        <v/>
      </c>
    </row>
    <row r="156" spans="1:2" x14ac:dyDescent="0.2">
      <c r="A156" t="s">
        <v>302</v>
      </c>
      <c r="B156" t="str">
        <f t="shared" si="2"/>
        <v>configure bridge port 1/1/16/23 vlan-id 990 tag single-tagged</v>
      </c>
    </row>
    <row r="157" spans="1:2" x14ac:dyDescent="0.2">
      <c r="A157" t="s">
        <v>303</v>
      </c>
      <c r="B157" t="str">
        <f t="shared" si="2"/>
        <v>configure bridge port 1/1/16/23 vlan-id 992 tag single-tagged</v>
      </c>
    </row>
    <row r="158" spans="1:2" x14ac:dyDescent="0.2">
      <c r="A158" t="s">
        <v>342</v>
      </c>
      <c r="B158" t="str">
        <f t="shared" si="2"/>
        <v/>
      </c>
    </row>
    <row r="159" spans="1:2" x14ac:dyDescent="0.2">
      <c r="A159" t="s">
        <v>320</v>
      </c>
      <c r="B159" t="str">
        <f t="shared" si="2"/>
        <v/>
      </c>
    </row>
    <row r="160" spans="1:2" x14ac:dyDescent="0.2">
      <c r="A160" t="s">
        <v>304</v>
      </c>
      <c r="B160" t="str">
        <f t="shared" si="2"/>
        <v>configure bridge port 1/1/16/25 vlan-id 900 tag single-tagged</v>
      </c>
    </row>
    <row r="161" spans="1:2" x14ac:dyDescent="0.2">
      <c r="A161" t="s">
        <v>305</v>
      </c>
      <c r="B161" t="str">
        <f t="shared" si="2"/>
        <v>configure bridge port 1/1/16/25 vlan-id 950 tag single-tagged</v>
      </c>
    </row>
    <row r="162" spans="1:2" x14ac:dyDescent="0.2">
      <c r="A162" t="s">
        <v>306</v>
      </c>
      <c r="B162" t="str">
        <f t="shared" si="2"/>
        <v>configure bridge port 1/1/16/25 vlan-id 951 tag single-tagged</v>
      </c>
    </row>
    <row r="163" spans="1:2" x14ac:dyDescent="0.2">
      <c r="A163" t="s">
        <v>307</v>
      </c>
      <c r="B163" t="str">
        <f t="shared" si="2"/>
        <v>configure bridge port 1/1/16/25 vlan-id 970 tag single-tagged</v>
      </c>
    </row>
    <row r="164" spans="1:2" x14ac:dyDescent="0.2">
      <c r="A164" t="s">
        <v>308</v>
      </c>
      <c r="B164" t="str">
        <f t="shared" si="2"/>
        <v>configure bridge port 1/1/16/25 vlan-id 990 tag single-tagged</v>
      </c>
    </row>
    <row r="165" spans="1:2" x14ac:dyDescent="0.2">
      <c r="A165" t="s">
        <v>309</v>
      </c>
      <c r="B165" t="str">
        <f t="shared" si="2"/>
        <v>configure bridge port 1/1/16/25 vlan-id 992 tag single-tagged</v>
      </c>
    </row>
    <row r="166" spans="1:2" x14ac:dyDescent="0.2">
      <c r="A166" t="s">
        <v>343</v>
      </c>
      <c r="B166" t="str">
        <f t="shared" si="2"/>
        <v/>
      </c>
    </row>
    <row r="167" spans="1:2" x14ac:dyDescent="0.2">
      <c r="A167" t="s">
        <v>320</v>
      </c>
      <c r="B167" t="str">
        <f t="shared" si="2"/>
        <v/>
      </c>
    </row>
    <row r="168" spans="1:2" x14ac:dyDescent="0.2">
      <c r="A168" t="s">
        <v>310</v>
      </c>
      <c r="B168" t="str">
        <f t="shared" si="2"/>
        <v>configure bridge port 1/1/16/27 vlan-id 900 tag single-tagged qos priority:7</v>
      </c>
    </row>
    <row r="169" spans="1:2" x14ac:dyDescent="0.2">
      <c r="A169" t="s">
        <v>311</v>
      </c>
      <c r="B169" t="str">
        <f t="shared" si="2"/>
        <v>configure bridge port 1/1/16/27 vlan-id 989 tag single-tagged qos priority:7</v>
      </c>
    </row>
    <row r="170" spans="1:2" x14ac:dyDescent="0.2">
      <c r="A170" t="s">
        <v>312</v>
      </c>
      <c r="B170" t="str">
        <f t="shared" si="2"/>
        <v>configure bridge port 1/1/16/27 vlan-id 992 tag single-tagged qos priority:7</v>
      </c>
    </row>
    <row r="171" spans="1:2" x14ac:dyDescent="0.2">
      <c r="A171" t="s">
        <v>344</v>
      </c>
      <c r="B171" t="str">
        <f t="shared" si="2"/>
        <v/>
      </c>
    </row>
    <row r="172" spans="1:2" x14ac:dyDescent="0.2">
      <c r="A172" t="s">
        <v>320</v>
      </c>
      <c r="B172" t="str">
        <f t="shared" si="2"/>
        <v/>
      </c>
    </row>
    <row r="173" spans="1:2" x14ac:dyDescent="0.2">
      <c r="A173" t="s">
        <v>313</v>
      </c>
      <c r="B173" t="str">
        <f t="shared" si="2"/>
        <v>configure bridge port 1/1/16/29 vlan-id 900 tag single-tagged</v>
      </c>
    </row>
    <row r="174" spans="1:2" x14ac:dyDescent="0.2">
      <c r="A174" t="s">
        <v>314</v>
      </c>
      <c r="B174" t="str">
        <f t="shared" si="2"/>
        <v>configure bridge port 1/1/16/29 vlan-id 950 tag single-tagged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abSelected="1" workbookViewId="0">
      <selection activeCell="C2" sqref="C2:C9"/>
    </sheetView>
  </sheetViews>
  <sheetFormatPr baseColWidth="10" defaultRowHeight="16" x14ac:dyDescent="0.2"/>
  <cols>
    <col min="1" max="1" width="13.1640625" bestFit="1" customWidth="1"/>
    <col min="3" max="3" width="148.33203125" style="1" customWidth="1"/>
  </cols>
  <sheetData>
    <row r="1" spans="1:3" ht="21" x14ac:dyDescent="0.25">
      <c r="A1" s="4" t="s">
        <v>370</v>
      </c>
      <c r="B1" s="4"/>
      <c r="C1" s="4"/>
    </row>
    <row r="2" spans="1:3" ht="17" x14ac:dyDescent="0.2">
      <c r="A2" t="s">
        <v>170</v>
      </c>
      <c r="B2">
        <v>0</v>
      </c>
      <c r="C2" s="1" t="str">
        <f>CONCATENATE("configure qos interface ",$A$2," upstream-queue ",B2," bandwidth-profile name:",$A$3," bandwidth-sharing uni-sharing priority ",B2+1)</f>
        <v>configure qos interface 1/1/15/1 upstream-queue 0 bandwidth-profile name:SRAN bandwidth-sharing uni-sharing priority 1</v>
      </c>
    </row>
    <row r="3" spans="1:3" ht="17" x14ac:dyDescent="0.2">
      <c r="A3" s="2" t="s">
        <v>346</v>
      </c>
      <c r="B3">
        <v>1</v>
      </c>
      <c r="C3" s="1" t="str">
        <f t="shared" ref="C3:C9" si="0">CONCATENATE("configure qos interface ",$A$2," upstream-queue ",B3," bandwidth-profile name:",$A$3," bandwidth-sharing uni-sharing priority ",B3+1)</f>
        <v>configure qos interface 1/1/15/1 upstream-queue 1 bandwidth-profile name:SRAN bandwidth-sharing uni-sharing priority 2</v>
      </c>
    </row>
    <row r="4" spans="1:3" ht="17" x14ac:dyDescent="0.2">
      <c r="B4">
        <v>2</v>
      </c>
      <c r="C4" s="1" t="str">
        <f t="shared" si="0"/>
        <v>configure qos interface 1/1/15/1 upstream-queue 2 bandwidth-profile name:SRAN bandwidth-sharing uni-sharing priority 3</v>
      </c>
    </row>
    <row r="5" spans="1:3" ht="17" x14ac:dyDescent="0.2">
      <c r="B5">
        <v>3</v>
      </c>
      <c r="C5" s="1" t="str">
        <f t="shared" si="0"/>
        <v>configure qos interface 1/1/15/1 upstream-queue 3 bandwidth-profile name:SRAN bandwidth-sharing uni-sharing priority 4</v>
      </c>
    </row>
    <row r="6" spans="1:3" ht="17" x14ac:dyDescent="0.2">
      <c r="B6">
        <v>4</v>
      </c>
      <c r="C6" s="1" t="str">
        <f t="shared" si="0"/>
        <v>configure qos interface 1/1/15/1 upstream-queue 4 bandwidth-profile name:SRAN bandwidth-sharing uni-sharing priority 5</v>
      </c>
    </row>
    <row r="7" spans="1:3" ht="17" x14ac:dyDescent="0.2">
      <c r="B7">
        <v>5</v>
      </c>
      <c r="C7" s="1" t="str">
        <f t="shared" si="0"/>
        <v>configure qos interface 1/1/15/1 upstream-queue 5 bandwidth-profile name:SRAN bandwidth-sharing uni-sharing priority 6</v>
      </c>
    </row>
    <row r="8" spans="1:3" ht="17" x14ac:dyDescent="0.2">
      <c r="B8">
        <v>6</v>
      </c>
      <c r="C8" s="1" t="str">
        <f t="shared" si="0"/>
        <v>configure qos interface 1/1/15/1 upstream-queue 6 bandwidth-profile name:SRAN bandwidth-sharing uni-sharing priority 7</v>
      </c>
    </row>
    <row r="9" spans="1:3" ht="17" x14ac:dyDescent="0.2">
      <c r="B9">
        <v>7</v>
      </c>
      <c r="C9" s="1" t="str">
        <f t="shared" si="0"/>
        <v>configure qos interface 1/1/15/1 upstream-queue 7 bandwidth-profile name:SRAN bandwidth-sharing uni-sharing priority 8</v>
      </c>
    </row>
    <row r="15" spans="1:3" ht="17" x14ac:dyDescent="0.2">
      <c r="C15" s="1" t="s">
        <v>374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Info_Config_commands!$A:$A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4"/>
  <sheetViews>
    <sheetView workbookViewId="0">
      <selection activeCell="A2" sqref="A2:E24"/>
    </sheetView>
  </sheetViews>
  <sheetFormatPr baseColWidth="10" defaultRowHeight="16" x14ac:dyDescent="0.2"/>
  <cols>
    <col min="2" max="2" width="31.5" bestFit="1" customWidth="1"/>
    <col min="3" max="3" width="19.33203125" customWidth="1"/>
    <col min="4" max="4" width="21.1640625" bestFit="1" customWidth="1"/>
    <col min="5" max="5" width="30.33203125" bestFit="1" customWidth="1"/>
    <col min="6" max="6" width="50.33203125" customWidth="1"/>
    <col min="7" max="7" width="34" bestFit="1" customWidth="1"/>
  </cols>
  <sheetData>
    <row r="1" spans="1:7" x14ac:dyDescent="0.2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380</v>
      </c>
    </row>
    <row r="2" spans="1:7" x14ac:dyDescent="0.2">
      <c r="A2" s="5">
        <v>100</v>
      </c>
      <c r="B2" s="5" t="s">
        <v>352</v>
      </c>
      <c r="C2" s="5" t="s">
        <v>353</v>
      </c>
      <c r="D2" s="6" t="s">
        <v>354</v>
      </c>
      <c r="E2" s="5" t="s">
        <v>355</v>
      </c>
      <c r="F2" s="7" t="str">
        <f>CONCATENATE("configure vlan id ",A2, " in-qos-prof-name name:",E2)</f>
        <v>configure vlan id 100 in-qos-prof-name name:Default_TC3</v>
      </c>
      <c r="G2" s="7"/>
    </row>
    <row r="3" spans="1:7" x14ac:dyDescent="0.2">
      <c r="A3" s="5">
        <v>101</v>
      </c>
      <c r="B3" s="5" t="s">
        <v>356</v>
      </c>
      <c r="C3" s="5" t="s">
        <v>353</v>
      </c>
      <c r="D3" s="6" t="s">
        <v>354</v>
      </c>
      <c r="E3" s="5" t="s">
        <v>355</v>
      </c>
      <c r="F3" s="7" t="str">
        <f t="shared" ref="F3:F20" si="0">CONCATENATE("configure vlan id ",A3, " in-qos-prof-name name:",E3)</f>
        <v>configure vlan id 101 in-qos-prof-name name:Default_TC3</v>
      </c>
      <c r="G3" s="7"/>
    </row>
    <row r="4" spans="1:7" x14ac:dyDescent="0.2">
      <c r="A4" s="5">
        <v>102</v>
      </c>
      <c r="B4" s="5" t="s">
        <v>357</v>
      </c>
      <c r="C4" s="5" t="s">
        <v>353</v>
      </c>
      <c r="D4" s="6" t="s">
        <v>354</v>
      </c>
      <c r="E4" s="5" t="s">
        <v>355</v>
      </c>
      <c r="F4" s="7" t="str">
        <f t="shared" si="0"/>
        <v>configure vlan id 102 in-qos-prof-name name:Default_TC3</v>
      </c>
      <c r="G4" s="7"/>
    </row>
    <row r="5" spans="1:7" x14ac:dyDescent="0.2">
      <c r="A5" s="5">
        <v>885</v>
      </c>
      <c r="B5" s="5" t="s">
        <v>358</v>
      </c>
      <c r="C5" s="5" t="s">
        <v>353</v>
      </c>
      <c r="D5" s="6" t="s">
        <v>354</v>
      </c>
      <c r="E5" s="5" t="s">
        <v>355</v>
      </c>
      <c r="F5" s="7" t="str">
        <f t="shared" si="0"/>
        <v>configure vlan id 885 in-qos-prof-name name:Default_TC3</v>
      </c>
      <c r="G5" s="7"/>
    </row>
    <row r="6" spans="1:7" x14ac:dyDescent="0.2">
      <c r="A6" s="5">
        <v>900</v>
      </c>
      <c r="B6" s="5" t="s">
        <v>359</v>
      </c>
      <c r="C6" s="5" t="s">
        <v>353</v>
      </c>
      <c r="D6" s="6" t="s">
        <v>354</v>
      </c>
      <c r="E6" s="5" t="s">
        <v>360</v>
      </c>
      <c r="F6" s="7" t="str">
        <f t="shared" si="0"/>
        <v>configure vlan id 900 in-qos-prof-name name:Ingress_Default</v>
      </c>
      <c r="G6" s="7"/>
    </row>
    <row r="7" spans="1:7" x14ac:dyDescent="0.2">
      <c r="A7" s="11">
        <v>915</v>
      </c>
      <c r="B7" s="11" t="s">
        <v>361</v>
      </c>
      <c r="C7" s="11" t="s">
        <v>353</v>
      </c>
      <c r="D7" s="12" t="s">
        <v>354</v>
      </c>
      <c r="E7" s="11" t="s">
        <v>360</v>
      </c>
      <c r="F7" s="13" t="str">
        <f t="shared" si="0"/>
        <v>configure vlan id 915 in-qos-prof-name name:Ingress_Default</v>
      </c>
      <c r="G7" s="13" t="s">
        <v>377</v>
      </c>
    </row>
    <row r="8" spans="1:7" x14ac:dyDescent="0.2">
      <c r="A8" s="11">
        <v>933</v>
      </c>
      <c r="B8" s="11" t="s">
        <v>362</v>
      </c>
      <c r="C8" s="11" t="s">
        <v>353</v>
      </c>
      <c r="D8" s="12" t="s">
        <v>354</v>
      </c>
      <c r="E8" s="11" t="s">
        <v>360</v>
      </c>
      <c r="F8" s="13" t="str">
        <f t="shared" si="0"/>
        <v>configure vlan id 933 in-qos-prof-name name:Ingress_Default</v>
      </c>
      <c r="G8" s="13" t="s">
        <v>377</v>
      </c>
    </row>
    <row r="9" spans="1:7" x14ac:dyDescent="0.2">
      <c r="A9" s="5">
        <v>950</v>
      </c>
      <c r="B9" s="5" t="s">
        <v>363</v>
      </c>
      <c r="C9" s="5" t="s">
        <v>353</v>
      </c>
      <c r="D9" s="6" t="s">
        <v>354</v>
      </c>
      <c r="E9" s="5" t="s">
        <v>360</v>
      </c>
      <c r="F9" s="7" t="str">
        <f t="shared" si="0"/>
        <v>configure vlan id 950 in-qos-prof-name name:Ingress_Default</v>
      </c>
      <c r="G9" s="7"/>
    </row>
    <row r="10" spans="1:7" x14ac:dyDescent="0.2">
      <c r="A10" s="11">
        <v>951</v>
      </c>
      <c r="B10" s="11" t="s">
        <v>361</v>
      </c>
      <c r="C10" s="11" t="s">
        <v>353</v>
      </c>
      <c r="D10" s="12" t="s">
        <v>354</v>
      </c>
      <c r="E10" s="11" t="s">
        <v>360</v>
      </c>
      <c r="F10" s="13" t="str">
        <f t="shared" si="0"/>
        <v>configure vlan id 951 in-qos-prof-name name:Ingress_Default</v>
      </c>
      <c r="G10" s="13"/>
    </row>
    <row r="11" spans="1:7" x14ac:dyDescent="0.2">
      <c r="A11" s="11">
        <v>970</v>
      </c>
      <c r="B11" s="11" t="s">
        <v>364</v>
      </c>
      <c r="C11" s="11" t="s">
        <v>353</v>
      </c>
      <c r="D11" s="12" t="s">
        <v>354</v>
      </c>
      <c r="E11" s="11" t="s">
        <v>360</v>
      </c>
      <c r="F11" s="13" t="str">
        <f t="shared" si="0"/>
        <v>configure vlan id 970 in-qos-prof-name name:Ingress_Default</v>
      </c>
      <c r="G11" s="13" t="s">
        <v>377</v>
      </c>
    </row>
    <row r="12" spans="1:7" x14ac:dyDescent="0.2">
      <c r="A12" s="5">
        <v>989</v>
      </c>
      <c r="B12" s="5" t="s">
        <v>365</v>
      </c>
      <c r="C12" s="5" t="s">
        <v>353</v>
      </c>
      <c r="D12" s="6" t="s">
        <v>354</v>
      </c>
      <c r="E12" s="5" t="s">
        <v>360</v>
      </c>
      <c r="F12" s="7" t="str">
        <f t="shared" si="0"/>
        <v>configure vlan id 989 in-qos-prof-name name:Ingress_Default</v>
      </c>
      <c r="G12" s="7"/>
    </row>
    <row r="13" spans="1:7" x14ac:dyDescent="0.2">
      <c r="A13" s="5">
        <v>990</v>
      </c>
      <c r="B13" s="5" t="s">
        <v>366</v>
      </c>
      <c r="C13" s="5" t="s">
        <v>353</v>
      </c>
      <c r="D13" s="6" t="s">
        <v>354</v>
      </c>
      <c r="E13" s="5" t="s">
        <v>360</v>
      </c>
      <c r="F13" s="7" t="str">
        <f t="shared" si="0"/>
        <v>configure vlan id 990 in-qos-prof-name name:Ingress_Default</v>
      </c>
      <c r="G13" s="7"/>
    </row>
    <row r="14" spans="1:7" x14ac:dyDescent="0.2">
      <c r="A14" s="11">
        <v>991</v>
      </c>
      <c r="B14" s="11" t="s">
        <v>367</v>
      </c>
      <c r="C14" s="11" t="s">
        <v>353</v>
      </c>
      <c r="D14" s="12" t="s">
        <v>354</v>
      </c>
      <c r="E14" s="11" t="s">
        <v>360</v>
      </c>
      <c r="F14" s="13" t="str">
        <f t="shared" si="0"/>
        <v>configure vlan id 991 in-qos-prof-name name:Ingress_Default</v>
      </c>
      <c r="G14" s="13" t="s">
        <v>377</v>
      </c>
    </row>
    <row r="15" spans="1:7" x14ac:dyDescent="0.2">
      <c r="A15" s="5">
        <v>992</v>
      </c>
      <c r="B15" s="5" t="s">
        <v>368</v>
      </c>
      <c r="C15" s="5" t="s">
        <v>353</v>
      </c>
      <c r="D15" s="6" t="s">
        <v>354</v>
      </c>
      <c r="E15" s="5" t="s">
        <v>360</v>
      </c>
      <c r="F15" s="7" t="str">
        <f t="shared" si="0"/>
        <v>configure vlan id 992 in-qos-prof-name name:Ingress_Default</v>
      </c>
      <c r="G15" s="7"/>
    </row>
    <row r="16" spans="1:7" x14ac:dyDescent="0.2">
      <c r="A16" s="11">
        <v>993</v>
      </c>
      <c r="B16" s="11" t="s">
        <v>362</v>
      </c>
      <c r="C16" s="11" t="s">
        <v>353</v>
      </c>
      <c r="D16" s="12" t="s">
        <v>354</v>
      </c>
      <c r="E16" s="11" t="s">
        <v>360</v>
      </c>
      <c r="F16" s="13" t="str">
        <f t="shared" si="0"/>
        <v>configure vlan id 993 in-qos-prof-name name:Ingress_Default</v>
      </c>
      <c r="G16" s="13" t="s">
        <v>377</v>
      </c>
    </row>
    <row r="17" spans="1:7" x14ac:dyDescent="0.2">
      <c r="A17" s="5">
        <v>995</v>
      </c>
      <c r="B17" s="5" t="s">
        <v>369</v>
      </c>
      <c r="C17" s="5" t="s">
        <v>353</v>
      </c>
      <c r="D17" s="6" t="s">
        <v>354</v>
      </c>
      <c r="E17" s="5" t="s">
        <v>360</v>
      </c>
      <c r="F17" s="7" t="str">
        <f t="shared" si="0"/>
        <v>configure vlan id 995 in-qos-prof-name name:Ingress_Default</v>
      </c>
      <c r="G17" s="7"/>
    </row>
    <row r="18" spans="1:7" x14ac:dyDescent="0.2">
      <c r="A18" s="15">
        <v>994</v>
      </c>
      <c r="B18" s="16"/>
      <c r="C18" s="16"/>
      <c r="D18" s="16"/>
      <c r="E18" s="16"/>
      <c r="F18" s="16"/>
      <c r="G18" s="16" t="s">
        <v>383</v>
      </c>
    </row>
    <row r="19" spans="1:7" x14ac:dyDescent="0.2">
      <c r="A19" s="8">
        <v>996</v>
      </c>
      <c r="B19" s="5" t="s">
        <v>378</v>
      </c>
      <c r="C19" s="5" t="s">
        <v>353</v>
      </c>
      <c r="D19" s="9" t="s">
        <v>360</v>
      </c>
      <c r="E19" s="9" t="s">
        <v>360</v>
      </c>
      <c r="F19" s="7" t="str">
        <f t="shared" si="0"/>
        <v>configure vlan id 996 in-qos-prof-name name:Ingress_Default</v>
      </c>
      <c r="G19" s="5"/>
    </row>
    <row r="20" spans="1:7" x14ac:dyDescent="0.2">
      <c r="A20" s="10">
        <v>997</v>
      </c>
      <c r="B20" s="11" t="s">
        <v>379</v>
      </c>
      <c r="C20" s="11" t="s">
        <v>353</v>
      </c>
      <c r="D20" s="12" t="s">
        <v>360</v>
      </c>
      <c r="E20" s="11" t="s">
        <v>355</v>
      </c>
      <c r="F20" s="13" t="str">
        <f t="shared" si="0"/>
        <v>configure vlan id 997 in-qos-prof-name name:Default_TC3</v>
      </c>
      <c r="G20" s="11" t="s">
        <v>377</v>
      </c>
    </row>
    <row r="21" spans="1:7" x14ac:dyDescent="0.2">
      <c r="A21" s="15">
        <v>998</v>
      </c>
      <c r="B21" s="16"/>
      <c r="C21" s="16"/>
      <c r="D21" s="16"/>
      <c r="E21" s="16"/>
      <c r="F21" s="16"/>
      <c r="G21" s="16" t="s">
        <v>383</v>
      </c>
    </row>
    <row r="22" spans="1:7" x14ac:dyDescent="0.2">
      <c r="A22" s="15">
        <v>999</v>
      </c>
      <c r="B22" s="16"/>
      <c r="C22" s="16"/>
      <c r="D22" s="16"/>
      <c r="E22" s="16"/>
      <c r="F22" s="16"/>
      <c r="G22" s="16" t="s">
        <v>383</v>
      </c>
    </row>
    <row r="23" spans="1:7" ht="51" x14ac:dyDescent="0.2">
      <c r="A23" s="8">
        <v>2000</v>
      </c>
      <c r="B23" s="5" t="s">
        <v>375</v>
      </c>
      <c r="C23" s="5" t="s">
        <v>353</v>
      </c>
      <c r="D23" s="5" t="s">
        <v>381</v>
      </c>
      <c r="E23" s="11" t="s">
        <v>355</v>
      </c>
      <c r="F23" s="13" t="str">
        <f t="shared" ref="F23:F24" si="1">CONCATENATE("configure vlan id ",A23, " in-qos-prof-name name:",E23)</f>
        <v>configure vlan id 2000 in-qos-prof-name name:Default_TC3</v>
      </c>
      <c r="G23" s="14" t="s">
        <v>382</v>
      </c>
    </row>
    <row r="24" spans="1:7" x14ac:dyDescent="0.2">
      <c r="A24" s="8">
        <v>2001</v>
      </c>
      <c r="B24" s="5" t="s">
        <v>376</v>
      </c>
      <c r="C24" s="5" t="s">
        <v>353</v>
      </c>
      <c r="D24" s="5" t="s">
        <v>354</v>
      </c>
      <c r="E24" s="11" t="s">
        <v>355</v>
      </c>
      <c r="F24" s="13" t="str">
        <f t="shared" si="1"/>
        <v>configure vlan id 2001 in-qos-prof-name name:Default_TC3</v>
      </c>
      <c r="G24" s="5"/>
    </row>
  </sheetData>
  <conditionalFormatting sqref="A1:A15 A17:A1048576">
    <cfRule type="duplicateValues" dxfId="1" priority="2"/>
  </conditionalFormatting>
  <conditionalFormatting sqref="A16">
    <cfRule type="duplicateValues" dxfId="0" priority="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WC-OMU-AO04</vt:lpstr>
      <vt:lpstr>Info_Config_commands</vt:lpstr>
      <vt:lpstr>Output_infoConfig_bridgePort</vt:lpstr>
      <vt:lpstr>Modifications of QOS queue</vt:lpstr>
      <vt:lpstr>Vlans_Change</vt:lpstr>
      <vt:lpstr>Vlans_Change!OLE_LINK11</vt:lpstr>
      <vt:lpstr>'Modifications of QOS queue'!OLE_LINK5</vt:lpstr>
      <vt:lpstr>'Modifications of QOS queue'!OLE_LINK50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2018-10-31T06:48:19Z</dcterms:created>
  <dcterms:modified xsi:type="dcterms:W3CDTF">2019-01-08T16:57:21Z</dcterms:modified>
</cp:coreProperties>
</file>